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schlatter\Dropbox\Clownfish\Code\"/>
    </mc:Choice>
  </mc:AlternateContent>
  <bookViews>
    <workbookView xWindow="0" yWindow="0" windowWidth="17730" windowHeight="7470" tabRatio="951" firstSheet="1" activeTab="10"/>
  </bookViews>
  <sheets>
    <sheet name="dat4emma" sheetId="1" r:id="rId1"/>
    <sheet name="dat4emma (2)" sheetId="3" r:id="rId2"/>
    <sheet name="Sheet2" sheetId="16" r:id="rId3"/>
    <sheet name="M size classes" sheetId="14" r:id="rId4"/>
    <sheet name="F size classes" sheetId="17" r:id="rId5"/>
    <sheet name="All J_SL" sheetId="7" r:id="rId6"/>
    <sheet name="Sheet3" sheetId="4" r:id="rId7"/>
    <sheet name="Histograms" sheetId="8" r:id="rId8"/>
    <sheet name="Growth vs Initial SL" sheetId="10" r:id="rId9"/>
    <sheet name="Growth vs Initial SL (2)" sheetId="11" r:id="rId10"/>
    <sheet name="Mortality and transition" sheetId="18" r:id="rId11"/>
    <sheet name="Mortality and new transitio (2" sheetId="19" r:id="rId12"/>
  </sheets>
  <calcPr calcId="17102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4" i="18" l="1"/>
  <c r="F5" i="18"/>
  <c r="F6" i="18"/>
  <c r="F3" i="18"/>
  <c r="D6" i="18"/>
  <c r="E6" i="18" s="1"/>
  <c r="G13" i="19" l="1"/>
  <c r="F13" i="19"/>
  <c r="E13" i="19"/>
  <c r="I8" i="19" l="1"/>
  <c r="L18" i="19"/>
  <c r="L19" i="19" s="1"/>
  <c r="J19" i="19"/>
  <c r="J18" i="19"/>
  <c r="K12" i="19"/>
  <c r="I12" i="19"/>
  <c r="K11" i="19"/>
  <c r="I11" i="19"/>
  <c r="K10" i="19"/>
  <c r="I10" i="19"/>
  <c r="K9" i="19"/>
  <c r="I9" i="19"/>
  <c r="K8" i="19"/>
  <c r="K2" i="19"/>
  <c r="E4" i="18" l="1"/>
  <c r="H4" i="18"/>
  <c r="I4" i="18" s="1"/>
  <c r="J4" i="18" s="1"/>
  <c r="H5" i="18"/>
  <c r="I5" i="18"/>
  <c r="D5" i="18"/>
  <c r="E5" i="18" s="1"/>
  <c r="D4" i="18"/>
  <c r="D3" i="18"/>
  <c r="E3" i="18" s="1"/>
  <c r="AC67" i="16" l="1"/>
  <c r="AC66" i="16"/>
  <c r="AC65" i="16"/>
  <c r="AC64" i="16"/>
  <c r="AC63" i="16"/>
  <c r="AC62" i="16"/>
  <c r="AC61" i="16"/>
  <c r="AC60" i="16"/>
  <c r="AC59" i="16"/>
  <c r="AC58" i="16"/>
  <c r="AC57" i="16"/>
  <c r="AC56" i="16"/>
  <c r="AC55" i="16"/>
  <c r="AC54" i="16"/>
  <c r="AC53" i="16"/>
  <c r="AC52" i="16"/>
  <c r="AC51" i="16"/>
  <c r="AC50" i="16"/>
  <c r="AC49" i="16"/>
  <c r="AC48" i="16"/>
  <c r="AC47" i="16"/>
  <c r="AC46" i="16"/>
  <c r="AC45" i="16"/>
  <c r="AC44" i="16"/>
  <c r="AC43" i="16"/>
  <c r="AC42" i="16"/>
  <c r="AC41" i="16"/>
  <c r="AC40" i="16"/>
  <c r="AC39" i="16"/>
  <c r="AC38" i="16"/>
  <c r="AC37" i="16"/>
  <c r="AC36" i="16"/>
  <c r="AC35" i="16"/>
  <c r="AC34" i="16"/>
  <c r="AC33" i="16"/>
  <c r="AC32" i="16"/>
  <c r="AC31" i="16"/>
  <c r="AC30" i="16"/>
  <c r="AC29" i="16"/>
  <c r="AC28" i="16"/>
  <c r="AC27" i="16"/>
  <c r="AC26" i="16"/>
  <c r="AC25" i="16"/>
  <c r="AC24" i="16"/>
  <c r="AC23" i="16"/>
  <c r="AC22" i="16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AC6" i="16"/>
  <c r="AC5" i="16"/>
  <c r="AC4" i="16"/>
  <c r="AC3" i="16"/>
  <c r="AC2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H21" i="11" l="1"/>
  <c r="G21" i="11"/>
  <c r="H20" i="11"/>
  <c r="G20" i="11"/>
  <c r="H19" i="11"/>
  <c r="G19" i="11"/>
  <c r="J21" i="11"/>
  <c r="J20" i="11"/>
  <c r="J19" i="11"/>
  <c r="J18" i="11"/>
  <c r="H18" i="11"/>
  <c r="G18" i="11"/>
  <c r="B6" i="11" l="1"/>
  <c r="B5" i="11"/>
  <c r="B4" i="11"/>
  <c r="B3" i="11"/>
  <c r="B8" i="10"/>
  <c r="B7" i="10"/>
  <c r="B6" i="10"/>
  <c r="B5" i="10"/>
  <c r="B3" i="10"/>
  <c r="N17" i="11" l="1"/>
  <c r="I21" i="11"/>
  <c r="I20" i="11"/>
  <c r="I19" i="11"/>
  <c r="I18" i="11"/>
  <c r="R4" i="11"/>
  <c r="R3" i="11"/>
  <c r="C1" i="14" l="1"/>
  <c r="C2" i="14"/>
  <c r="C5" i="14"/>
  <c r="C13" i="14"/>
  <c r="V6" i="11" l="1"/>
  <c r="W6" i="11"/>
  <c r="X6" i="11"/>
  <c r="V5" i="11"/>
  <c r="X5" i="11" s="1"/>
  <c r="W5" i="11"/>
  <c r="V4" i="11"/>
  <c r="W4" i="11"/>
  <c r="W3" i="11"/>
  <c r="X3" i="11" s="1"/>
  <c r="V3" i="11"/>
  <c r="Q4" i="11"/>
  <c r="S4" i="11" s="1"/>
  <c r="Q6" i="11"/>
  <c r="R6" i="11"/>
  <c r="Q5" i="11"/>
  <c r="R5" i="11"/>
  <c r="Q3" i="11"/>
  <c r="S3" i="11" s="1"/>
  <c r="N6" i="11"/>
  <c r="L4" i="11"/>
  <c r="M6" i="11"/>
  <c r="L6" i="11"/>
  <c r="M5" i="11"/>
  <c r="N5" i="11" s="1"/>
  <c r="L5" i="11"/>
  <c r="M4" i="11"/>
  <c r="N4" i="11" s="1"/>
  <c r="L3" i="11"/>
  <c r="M3" i="11"/>
  <c r="N3" i="11" s="1"/>
  <c r="H6" i="11"/>
  <c r="G6" i="11"/>
  <c r="H5" i="11"/>
  <c r="G5" i="11"/>
  <c r="I5" i="11" s="1"/>
  <c r="H4" i="11"/>
  <c r="G4" i="11"/>
  <c r="I4" i="11" s="1"/>
  <c r="H3" i="11"/>
  <c r="G3" i="11"/>
  <c r="I3" i="11" s="1"/>
  <c r="A11" i="11"/>
  <c r="K7" i="10"/>
  <c r="J6" i="10"/>
  <c r="M3" i="10"/>
  <c r="K5" i="10" s="1"/>
  <c r="G8" i="10"/>
  <c r="H8" i="10"/>
  <c r="H7" i="10"/>
  <c r="G7" i="10"/>
  <c r="J7" i="10" s="1"/>
  <c r="H6" i="10"/>
  <c r="K6" i="10" s="1"/>
  <c r="G6" i="10"/>
  <c r="H5" i="10"/>
  <c r="G5" i="10"/>
  <c r="J5" i="10" s="1"/>
  <c r="H3" i="10"/>
  <c r="G3" i="10"/>
  <c r="B4" i="10"/>
  <c r="H4" i="10" s="1"/>
  <c r="J8" i="10" l="1"/>
  <c r="K8" i="10"/>
  <c r="K3" i="10"/>
  <c r="J3" i="10"/>
  <c r="K4" i="10"/>
  <c r="I6" i="11"/>
  <c r="G4" i="10"/>
  <c r="J4" i="10"/>
  <c r="X4" i="11"/>
  <c r="S6" i="11"/>
  <c r="S5" i="11"/>
</calcChain>
</file>

<file path=xl/sharedStrings.xml><?xml version="1.0" encoding="utf-8"?>
<sst xmlns="http://schemas.openxmlformats.org/spreadsheetml/2006/main" count="1639" uniqueCount="143">
  <si>
    <t>Group.ID</t>
  </si>
  <si>
    <t>F.SL</t>
  </si>
  <si>
    <t>F.mass</t>
  </si>
  <si>
    <t>F.d.SL</t>
  </si>
  <si>
    <t>F.d.mass</t>
  </si>
  <si>
    <t>M.SL</t>
  </si>
  <si>
    <t>M.mass</t>
  </si>
  <si>
    <t>M.d.SL</t>
  </si>
  <si>
    <t>M.d.mass</t>
  </si>
  <si>
    <t>R3.SL.Jan</t>
  </si>
  <si>
    <t>R3.d.SL</t>
  </si>
  <si>
    <t>R3.mass.Jan</t>
  </si>
  <si>
    <t>R3.d.mass</t>
  </si>
  <si>
    <t>R4.SL.Jan</t>
  </si>
  <si>
    <t>R4.d.SL</t>
  </si>
  <si>
    <t>R4.mass.Jan</t>
  </si>
  <si>
    <t>R4.d.mass</t>
  </si>
  <si>
    <t>R5.SL.Jan</t>
  </si>
  <si>
    <t>R5.d.SL</t>
  </si>
  <si>
    <t>R5.mass.Jan</t>
  </si>
  <si>
    <t>R5.d.mass</t>
  </si>
  <si>
    <t>R6.SL.Jan</t>
  </si>
  <si>
    <t>R6.d.SL</t>
  </si>
  <si>
    <t>R6.mass.Jan</t>
  </si>
  <si>
    <t>R6.d.mass</t>
  </si>
  <si>
    <t>NA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</si>
  <si>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</si>
  <si>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</si>
  <si>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</si>
  <si>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</si>
  <si>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</si>
  <si>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</si>
  <si>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</si>
  <si>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</si>
  <si>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</si>
  <si>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</si>
  <si>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</si>
  <si>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</si>
  <si>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</si>
  <si>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</si>
  <si>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</si>
  <si>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</si>
  <si>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Female SL</t>
  </si>
  <si>
    <t>Male SL</t>
  </si>
  <si>
    <t>Male d.SL</t>
  </si>
  <si>
    <t>R3</t>
  </si>
  <si>
    <t>R4</t>
  </si>
  <si>
    <t>R5</t>
  </si>
  <si>
    <t>R6</t>
  </si>
  <si>
    <t>Bin</t>
  </si>
  <si>
    <t>More</t>
  </si>
  <si>
    <t>Frequency</t>
  </si>
  <si>
    <t>J SL - All</t>
  </si>
  <si>
    <t>All J</t>
  </si>
  <si>
    <t>All J -- SL</t>
  </si>
  <si>
    <t>J SL -- R3</t>
  </si>
  <si>
    <t>F no vac</t>
  </si>
  <si>
    <t>F vac</t>
  </si>
  <si>
    <t>M no vac</t>
  </si>
  <si>
    <t>M vac</t>
  </si>
  <si>
    <t>J no vac (rk 3)</t>
  </si>
  <si>
    <t>J vac (rk 3)</t>
  </si>
  <si>
    <t>Intercept</t>
  </si>
  <si>
    <t>Slope</t>
  </si>
  <si>
    <t>Growth vs Initial SL</t>
  </si>
  <si>
    <t>Growth, min length</t>
  </si>
  <si>
    <t>Growth, max length</t>
  </si>
  <si>
    <t>Min length</t>
  </si>
  <si>
    <t>Max Length</t>
  </si>
  <si>
    <t>Growth/month, min length</t>
  </si>
  <si>
    <t>Growth/month, max length</t>
  </si>
  <si>
    <t>Month/study length (30/296 days)</t>
  </si>
  <si>
    <t>Avg Growth</t>
  </si>
  <si>
    <t>Class 1</t>
  </si>
  <si>
    <t>Class 2</t>
  </si>
  <si>
    <t>Class 3</t>
  </si>
  <si>
    <t>Class 4</t>
  </si>
  <si>
    <t>Avg Growth Rates (monthly)</t>
  </si>
  <si>
    <t>Avg Growth Rates (per 296 days)</t>
  </si>
  <si>
    <t>F</t>
  </si>
  <si>
    <t>M</t>
  </si>
  <si>
    <t>J (rk 3)</t>
  </si>
  <si>
    <t>Prob of mortality in 10 lunar months</t>
  </si>
  <si>
    <t>Prob of mortality in 30 days</t>
  </si>
  <si>
    <t>30/296 days</t>
  </si>
  <si>
    <t>Transition Probability in 10 lunar months</t>
  </si>
  <si>
    <t>Transition probability in 30 days</t>
  </si>
  <si>
    <t>M to F</t>
  </si>
  <si>
    <t>J to M</t>
  </si>
  <si>
    <t>Column1</t>
  </si>
  <si>
    <t>Neg values excluded</t>
  </si>
  <si>
    <t>Growth rate, calculated by regression</t>
  </si>
  <si>
    <t>From Data</t>
  </si>
  <si>
    <t>By regression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</si>
  <si>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</si>
  <si>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</si>
  <si>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</si>
  <si>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</si>
  <si>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</si>
  <si>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</si>
  <si>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</si>
  <si>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</si>
  <si>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</si>
  <si>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</si>
  <si>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</si>
  <si>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</si>
  <si>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</si>
  <si>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</si>
  <si>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</si>
  <si>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</si>
  <si>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</si>
  <si>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</si>
  <si>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</si>
  <si>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</si>
  <si>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</si>
  <si>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</si>
  <si>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Regression of column AC on AB</t>
  </si>
  <si>
    <t>RESIDUAL OUTPUT</t>
  </si>
  <si>
    <t>Observation</t>
  </si>
  <si>
    <t>Predicted Y</t>
  </si>
  <si>
    <t>Residuals</t>
  </si>
  <si>
    <t>1. Harvest all F</t>
  </si>
  <si>
    <t>tF</t>
  </si>
  <si>
    <t>tM</t>
  </si>
  <si>
    <t>mF</t>
  </si>
  <si>
    <t>mM</t>
  </si>
  <si>
    <t>mJ</t>
  </si>
  <si>
    <t>2. Harvest all M</t>
  </si>
  <si>
    <t>3. Harvest all M and F</t>
  </si>
  <si>
    <t>4. Harvest all J</t>
  </si>
  <si>
    <t>5. Harvest 25% of all</t>
  </si>
  <si>
    <t>eJ</t>
  </si>
  <si>
    <t>eM</t>
  </si>
  <si>
    <t>J1</t>
  </si>
  <si>
    <t>Survival (302 days)</t>
  </si>
  <si>
    <t>Mortality (302 days)</t>
  </si>
  <si>
    <t>Mortality (30 days)</t>
  </si>
  <si>
    <t>Survival+transition (302 days)</t>
  </si>
  <si>
    <t>Survival+transition (30 days)</t>
  </si>
  <si>
    <t>Transition (30 days)</t>
  </si>
  <si>
    <t>6. Harvest 10% of all</t>
  </si>
  <si>
    <t>J2</t>
  </si>
  <si>
    <t>Mortality (28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</si>
</sst>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Verdana"/>
    </font>
    <font>
      <sz val="8"/>
      <name val="Verdana"/>
    </font>
    <font>
      <i/>
      <sz val="10"/>
      <name val="Verdana"/>
      <family val="2"/>
    </font>
    <font>
      <sz val="10"/>
      <name val="Verdana"/>
      <family val="2"/>
    </font>
    <font>
      <b/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/>
    <xf numFmtId="0" fontId="0" fillId="0" borderId="0" xfId="0" applyNumberFormat="1" applyFill="1" applyBorder="1" applyAlignment="1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applyFill="1"/>
    <xf numFmtId="0" fontId="3" fillId="3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Calculated by regression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Sheet2!$R$27:$R$66</c:f>
              <c:strCache>
                <c:ptCount val="40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More</c:v>
                </c:pt>
              </c:strCache>
            </c:strRef>
          </c:cat>
          <c:val>
            <c:numRef>
              <c:f>Sheet2!$S$27:$S$66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9</c:v>
                </c:pt>
                <c:pt idx="20">
                  <c:v>7</c:v>
                </c:pt>
                <c:pt idx="21">
                  <c:v>15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6-4A14-9A79-57EC4C4B1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82240"/>
        <c:axId val="161782800"/>
      </c:barChart>
      <c:catAx>
        <c:axId val="16178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82800"/>
        <c:crosses val="autoZero"/>
        <c:auto val="1"/>
        <c:lblAlgn val="ctr"/>
        <c:lblOffset val="100"/>
        <c:noMultiLvlLbl val="0"/>
      </c:catAx>
      <c:valAx>
        <c:axId val="161782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82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From data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Sheet2!$U$27:$U$66</c:f>
              <c:strCache>
                <c:ptCount val="40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More</c:v>
                </c:pt>
              </c:strCache>
            </c:strRef>
          </c:cat>
          <c:val>
            <c:numRef>
              <c:f>Sheet2!$V$27:$V$66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8</c:v>
                </c:pt>
                <c:pt idx="6">
                  <c:v>11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B-4DC7-9BC7-D23B73A3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85040"/>
        <c:axId val="161785600"/>
      </c:barChart>
      <c:catAx>
        <c:axId val="16178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85600"/>
        <c:crosses val="autoZero"/>
        <c:auto val="1"/>
        <c:lblAlgn val="ctr"/>
        <c:lblOffset val="100"/>
        <c:noMultiLvlLbl val="0"/>
      </c:catAx>
      <c:valAx>
        <c:axId val="161785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85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Sheet2!$J$2:$J$72</c:f>
              <c:numCache>
                <c:formatCode>General</c:formatCode>
                <c:ptCount val="71"/>
                <c:pt idx="0">
                  <c:v>2.6</c:v>
                </c:pt>
                <c:pt idx="1">
                  <c:v>11.9</c:v>
                </c:pt>
                <c:pt idx="2">
                  <c:v>5.9</c:v>
                </c:pt>
                <c:pt idx="3">
                  <c:v>19.399999999999999</c:v>
                </c:pt>
                <c:pt idx="4">
                  <c:v>3.7</c:v>
                </c:pt>
                <c:pt idx="5">
                  <c:v>3.3</c:v>
                </c:pt>
                <c:pt idx="6">
                  <c:v>3.5</c:v>
                </c:pt>
                <c:pt idx="7">
                  <c:v>2.8</c:v>
                </c:pt>
                <c:pt idx="8">
                  <c:v>0.4</c:v>
                </c:pt>
                <c:pt idx="9">
                  <c:v>2.8</c:v>
                </c:pt>
                <c:pt idx="10">
                  <c:v>2.7</c:v>
                </c:pt>
                <c:pt idx="15">
                  <c:v>6.6</c:v>
                </c:pt>
                <c:pt idx="16">
                  <c:v>1.4</c:v>
                </c:pt>
                <c:pt idx="17">
                  <c:v>-0.2</c:v>
                </c:pt>
                <c:pt idx="18">
                  <c:v>2.1</c:v>
                </c:pt>
                <c:pt idx="19">
                  <c:v>0.9</c:v>
                </c:pt>
                <c:pt idx="20">
                  <c:v>6.3</c:v>
                </c:pt>
                <c:pt idx="21">
                  <c:v>3.3</c:v>
                </c:pt>
                <c:pt idx="22">
                  <c:v>1.1000000000000001</c:v>
                </c:pt>
                <c:pt idx="23">
                  <c:v>1.7</c:v>
                </c:pt>
                <c:pt idx="24">
                  <c:v>1.5</c:v>
                </c:pt>
                <c:pt idx="25">
                  <c:v>7.5</c:v>
                </c:pt>
                <c:pt idx="26">
                  <c:v>1.9</c:v>
                </c:pt>
                <c:pt idx="27">
                  <c:v>2.5</c:v>
                </c:pt>
                <c:pt idx="28">
                  <c:v>0.4</c:v>
                </c:pt>
                <c:pt idx="29">
                  <c:v>0.6</c:v>
                </c:pt>
                <c:pt idx="30">
                  <c:v>1.2</c:v>
                </c:pt>
                <c:pt idx="31">
                  <c:v>1</c:v>
                </c:pt>
                <c:pt idx="32">
                  <c:v>1.7</c:v>
                </c:pt>
                <c:pt idx="33">
                  <c:v>1.2</c:v>
                </c:pt>
                <c:pt idx="34">
                  <c:v>0.5</c:v>
                </c:pt>
                <c:pt idx="35">
                  <c:v>1.9</c:v>
                </c:pt>
                <c:pt idx="36">
                  <c:v>0.9</c:v>
                </c:pt>
                <c:pt idx="38">
                  <c:v>0.1</c:v>
                </c:pt>
                <c:pt idx="39">
                  <c:v>1.6</c:v>
                </c:pt>
                <c:pt idx="40">
                  <c:v>1.1000000000000001</c:v>
                </c:pt>
                <c:pt idx="41">
                  <c:v>3</c:v>
                </c:pt>
                <c:pt idx="42">
                  <c:v>0.8</c:v>
                </c:pt>
                <c:pt idx="43">
                  <c:v>0.2</c:v>
                </c:pt>
                <c:pt idx="44">
                  <c:v>2.1</c:v>
                </c:pt>
                <c:pt idx="45">
                  <c:v>-0.3</c:v>
                </c:pt>
                <c:pt idx="46">
                  <c:v>0.9</c:v>
                </c:pt>
                <c:pt idx="47">
                  <c:v>3.2</c:v>
                </c:pt>
                <c:pt idx="48">
                  <c:v>3</c:v>
                </c:pt>
                <c:pt idx="49">
                  <c:v>0.7</c:v>
                </c:pt>
                <c:pt idx="50">
                  <c:v>0.1</c:v>
                </c:pt>
                <c:pt idx="51">
                  <c:v>3.1</c:v>
                </c:pt>
                <c:pt idx="52">
                  <c:v>-1.5</c:v>
                </c:pt>
                <c:pt idx="53">
                  <c:v>4.0999999999999996</c:v>
                </c:pt>
                <c:pt idx="54">
                  <c:v>0.6</c:v>
                </c:pt>
                <c:pt idx="55">
                  <c:v>1.1000000000000001</c:v>
                </c:pt>
                <c:pt idx="56">
                  <c:v>2.8</c:v>
                </c:pt>
                <c:pt idx="57">
                  <c:v>1.7</c:v>
                </c:pt>
                <c:pt idx="58">
                  <c:v>-0.5</c:v>
                </c:pt>
                <c:pt idx="59">
                  <c:v>0</c:v>
                </c:pt>
                <c:pt idx="60">
                  <c:v>0.6</c:v>
                </c:pt>
                <c:pt idx="61">
                  <c:v>0.2</c:v>
                </c:pt>
                <c:pt idx="62">
                  <c:v>0.5</c:v>
                </c:pt>
                <c:pt idx="63">
                  <c:v>-1</c:v>
                </c:pt>
                <c:pt idx="64">
                  <c:v>0.8</c:v>
                </c:pt>
                <c:pt idx="65">
                  <c:v>0.7</c:v>
                </c:pt>
                <c:pt idx="66">
                  <c:v>11.9</c:v>
                </c:pt>
                <c:pt idx="67">
                  <c:v>14.1</c:v>
                </c:pt>
                <c:pt idx="68">
                  <c:v>15.7</c:v>
                </c:pt>
                <c:pt idx="69">
                  <c:v>5.2</c:v>
                </c:pt>
                <c:pt idx="70">
                  <c:v>7.4</c:v>
                </c:pt>
              </c:numCache>
            </c:numRef>
          </c:xVal>
          <c:yVal>
            <c:numRef>
              <c:f>Sheet2!$K$2:$K$72</c:f>
              <c:numCache>
                <c:formatCode>0.0</c:formatCode>
                <c:ptCount val="71"/>
                <c:pt idx="0">
                  <c:v>10.216000000000001</c:v>
                </c:pt>
                <c:pt idx="1">
                  <c:v>12.756999999999998</c:v>
                </c:pt>
                <c:pt idx="2">
                  <c:v>9.2259999999999991</c:v>
                </c:pt>
                <c:pt idx="3">
                  <c:v>14.076999999999998</c:v>
                </c:pt>
                <c:pt idx="4">
                  <c:v>11.14</c:v>
                </c:pt>
                <c:pt idx="5">
                  <c:v>9.7539999999999978</c:v>
                </c:pt>
                <c:pt idx="6">
                  <c:v>8.0380000000000003</c:v>
                </c:pt>
                <c:pt idx="7">
                  <c:v>9.6879999999999988</c:v>
                </c:pt>
                <c:pt idx="8">
                  <c:v>8.004999999999999</c:v>
                </c:pt>
                <c:pt idx="9">
                  <c:v>11.899000000000001</c:v>
                </c:pt>
                <c:pt idx="10">
                  <c:v>9.7210000000000001</c:v>
                </c:pt>
                <c:pt idx="11">
                  <c:v>9.2259999999999991</c:v>
                </c:pt>
                <c:pt idx="12">
                  <c:v>8.2360000000000007</c:v>
                </c:pt>
                <c:pt idx="13">
                  <c:v>7.839999999999999</c:v>
                </c:pt>
                <c:pt idx="14">
                  <c:v>9.852999999999998</c:v>
                </c:pt>
                <c:pt idx="15">
                  <c:v>8.0380000000000003</c:v>
                </c:pt>
                <c:pt idx="16">
                  <c:v>8.3679999999999986</c:v>
                </c:pt>
                <c:pt idx="17">
                  <c:v>9.4899999999999984</c:v>
                </c:pt>
                <c:pt idx="18">
                  <c:v>8.8960000000000008</c:v>
                </c:pt>
                <c:pt idx="19">
                  <c:v>8.070999999999998</c:v>
                </c:pt>
                <c:pt idx="20">
                  <c:v>9.786999999999999</c:v>
                </c:pt>
                <c:pt idx="21">
                  <c:v>7.674999999999998</c:v>
                </c:pt>
                <c:pt idx="22">
                  <c:v>8.5329999999999977</c:v>
                </c:pt>
                <c:pt idx="23">
                  <c:v>9.6879999999999988</c:v>
                </c:pt>
                <c:pt idx="24">
                  <c:v>8.4669999999999987</c:v>
                </c:pt>
                <c:pt idx="25">
                  <c:v>8.796999999999997</c:v>
                </c:pt>
                <c:pt idx="26">
                  <c:v>8.6980000000000004</c:v>
                </c:pt>
                <c:pt idx="27">
                  <c:v>7.9389999999999974</c:v>
                </c:pt>
                <c:pt idx="28">
                  <c:v>7.4439999999999982</c:v>
                </c:pt>
                <c:pt idx="29">
                  <c:v>8.004999999999999</c:v>
                </c:pt>
                <c:pt idx="30">
                  <c:v>6.7510000000000003</c:v>
                </c:pt>
                <c:pt idx="31">
                  <c:v>8.3019999999999996</c:v>
                </c:pt>
                <c:pt idx="32">
                  <c:v>8.0380000000000003</c:v>
                </c:pt>
                <c:pt idx="33">
                  <c:v>7.2789999999999973</c:v>
                </c:pt>
                <c:pt idx="34">
                  <c:v>7.9389999999999974</c:v>
                </c:pt>
                <c:pt idx="35">
                  <c:v>9.291999999999998</c:v>
                </c:pt>
                <c:pt idx="36">
                  <c:v>7.4439999999999982</c:v>
                </c:pt>
                <c:pt idx="37">
                  <c:v>6.9819999999999984</c:v>
                </c:pt>
                <c:pt idx="38">
                  <c:v>8.5329999999999977</c:v>
                </c:pt>
                <c:pt idx="39">
                  <c:v>7.344999999999998</c:v>
                </c:pt>
                <c:pt idx="40">
                  <c:v>8.3349999999999973</c:v>
                </c:pt>
                <c:pt idx="41">
                  <c:v>8.4339999999999975</c:v>
                </c:pt>
                <c:pt idx="42">
                  <c:v>9.0609999999999999</c:v>
                </c:pt>
                <c:pt idx="43">
                  <c:v>7.2789999999999973</c:v>
                </c:pt>
                <c:pt idx="44">
                  <c:v>6.387999999999999</c:v>
                </c:pt>
                <c:pt idx="45">
                  <c:v>7.7409999999999988</c:v>
                </c:pt>
                <c:pt idx="46">
                  <c:v>7.6419999999999986</c:v>
                </c:pt>
                <c:pt idx="47">
                  <c:v>6.5529999999999999</c:v>
                </c:pt>
                <c:pt idx="48">
                  <c:v>5.6949999999999994</c:v>
                </c:pt>
                <c:pt idx="49">
                  <c:v>6.4210000000000003</c:v>
                </c:pt>
                <c:pt idx="50">
                  <c:v>7.4769999999999976</c:v>
                </c:pt>
                <c:pt idx="51">
                  <c:v>5.5629999999999979</c:v>
                </c:pt>
                <c:pt idx="52">
                  <c:v>6.4869999999999974</c:v>
                </c:pt>
                <c:pt idx="53">
                  <c:v>6.453999999999998</c:v>
                </c:pt>
                <c:pt idx="54">
                  <c:v>8.1699999999999982</c:v>
                </c:pt>
                <c:pt idx="55">
                  <c:v>8.1699999999999982</c:v>
                </c:pt>
                <c:pt idx="56">
                  <c:v>7.0479999999999992</c:v>
                </c:pt>
                <c:pt idx="57">
                  <c:v>6.8169999999999975</c:v>
                </c:pt>
                <c:pt idx="58">
                  <c:v>6.5199999999999987</c:v>
                </c:pt>
                <c:pt idx="59">
                  <c:v>7.0149999999999979</c:v>
                </c:pt>
                <c:pt idx="60">
                  <c:v>6.288999999999997</c:v>
                </c:pt>
                <c:pt idx="61">
                  <c:v>7.2129999999999983</c:v>
                </c:pt>
                <c:pt idx="62">
                  <c:v>4.6719999999999997</c:v>
                </c:pt>
                <c:pt idx="63">
                  <c:v>5.793999999999996</c:v>
                </c:pt>
                <c:pt idx="64">
                  <c:v>7.5759999999999996</c:v>
                </c:pt>
                <c:pt idx="65">
                  <c:v>4.6060000000000008</c:v>
                </c:pt>
                <c:pt idx="66">
                  <c:v>16.254999999999999</c:v>
                </c:pt>
                <c:pt idx="67">
                  <c:v>14.835999999999999</c:v>
                </c:pt>
                <c:pt idx="68">
                  <c:v>12.625</c:v>
                </c:pt>
                <c:pt idx="69">
                  <c:v>10.149999999999999</c:v>
                </c:pt>
                <c:pt idx="70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7-4DCC-9AAF-ADF8AC38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88400"/>
        <c:axId val="161788960"/>
      </c:scatterChart>
      <c:valAx>
        <c:axId val="16178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from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8960"/>
        <c:crosses val="autoZero"/>
        <c:crossBetween val="midCat"/>
      </c:valAx>
      <c:valAx>
        <c:axId val="1617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calculated by regression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 size classes'!$E$2:$E$67</c:f>
              <c:numCache>
                <c:formatCode>General</c:formatCode>
                <c:ptCount val="66"/>
                <c:pt idx="0">
                  <c:v>36.299999999999997</c:v>
                </c:pt>
                <c:pt idx="1">
                  <c:v>28.6</c:v>
                </c:pt>
                <c:pt idx="2">
                  <c:v>39.299999999999997</c:v>
                </c:pt>
                <c:pt idx="3">
                  <c:v>24.6</c:v>
                </c:pt>
                <c:pt idx="4">
                  <c:v>33.5</c:v>
                </c:pt>
                <c:pt idx="5">
                  <c:v>37.700000000000003</c:v>
                </c:pt>
                <c:pt idx="6">
                  <c:v>42.9</c:v>
                </c:pt>
                <c:pt idx="7">
                  <c:v>37.9</c:v>
                </c:pt>
                <c:pt idx="8">
                  <c:v>43</c:v>
                </c:pt>
                <c:pt idx="9">
                  <c:v>31.2</c:v>
                </c:pt>
                <c:pt idx="10">
                  <c:v>37.799999999999997</c:v>
                </c:pt>
                <c:pt idx="11">
                  <c:v>42.9</c:v>
                </c:pt>
                <c:pt idx="12">
                  <c:v>41.9</c:v>
                </c:pt>
                <c:pt idx="13">
                  <c:v>38.5</c:v>
                </c:pt>
                <c:pt idx="14">
                  <c:v>40.299999999999997</c:v>
                </c:pt>
                <c:pt idx="15">
                  <c:v>42.8</c:v>
                </c:pt>
                <c:pt idx="16">
                  <c:v>37.6</c:v>
                </c:pt>
                <c:pt idx="17">
                  <c:v>44</c:v>
                </c:pt>
                <c:pt idx="18">
                  <c:v>41.4</c:v>
                </c:pt>
                <c:pt idx="19">
                  <c:v>37.9</c:v>
                </c:pt>
                <c:pt idx="20">
                  <c:v>41.6</c:v>
                </c:pt>
                <c:pt idx="21">
                  <c:v>40.6</c:v>
                </c:pt>
                <c:pt idx="22">
                  <c:v>40.9</c:v>
                </c:pt>
                <c:pt idx="23">
                  <c:v>43.2</c:v>
                </c:pt>
                <c:pt idx="24">
                  <c:v>44.7</c:v>
                </c:pt>
                <c:pt idx="25">
                  <c:v>43</c:v>
                </c:pt>
                <c:pt idx="26">
                  <c:v>46.8</c:v>
                </c:pt>
                <c:pt idx="27">
                  <c:v>42.1</c:v>
                </c:pt>
                <c:pt idx="28">
                  <c:v>42.9</c:v>
                </c:pt>
                <c:pt idx="29">
                  <c:v>45.2</c:v>
                </c:pt>
                <c:pt idx="30">
                  <c:v>43.2</c:v>
                </c:pt>
                <c:pt idx="31">
                  <c:v>39.1</c:v>
                </c:pt>
                <c:pt idx="32">
                  <c:v>44.7</c:v>
                </c:pt>
                <c:pt idx="33">
                  <c:v>41.4</c:v>
                </c:pt>
                <c:pt idx="34">
                  <c:v>45</c:v>
                </c:pt>
                <c:pt idx="35">
                  <c:v>42</c:v>
                </c:pt>
                <c:pt idx="36">
                  <c:v>41.7</c:v>
                </c:pt>
                <c:pt idx="37">
                  <c:v>39.799999999999997</c:v>
                </c:pt>
                <c:pt idx="38">
                  <c:v>45.2</c:v>
                </c:pt>
                <c:pt idx="39">
                  <c:v>47.9</c:v>
                </c:pt>
                <c:pt idx="40">
                  <c:v>43.8</c:v>
                </c:pt>
                <c:pt idx="41">
                  <c:v>44.1</c:v>
                </c:pt>
                <c:pt idx="42">
                  <c:v>47.4</c:v>
                </c:pt>
                <c:pt idx="43">
                  <c:v>50</c:v>
                </c:pt>
                <c:pt idx="44">
                  <c:v>47.8</c:v>
                </c:pt>
                <c:pt idx="45">
                  <c:v>44.6</c:v>
                </c:pt>
                <c:pt idx="46">
                  <c:v>50.4</c:v>
                </c:pt>
                <c:pt idx="47">
                  <c:v>47.6</c:v>
                </c:pt>
                <c:pt idx="48">
                  <c:v>47.7</c:v>
                </c:pt>
                <c:pt idx="49">
                  <c:v>42.5</c:v>
                </c:pt>
                <c:pt idx="50">
                  <c:v>42.5</c:v>
                </c:pt>
                <c:pt idx="51">
                  <c:v>45.9</c:v>
                </c:pt>
                <c:pt idx="52">
                  <c:v>46.6</c:v>
                </c:pt>
                <c:pt idx="53">
                  <c:v>47.5</c:v>
                </c:pt>
                <c:pt idx="54">
                  <c:v>46</c:v>
                </c:pt>
                <c:pt idx="55">
                  <c:v>48.2</c:v>
                </c:pt>
                <c:pt idx="56">
                  <c:v>45.4</c:v>
                </c:pt>
                <c:pt idx="57">
                  <c:v>53.1</c:v>
                </c:pt>
                <c:pt idx="58">
                  <c:v>49.7</c:v>
                </c:pt>
                <c:pt idx="59">
                  <c:v>44.3</c:v>
                </c:pt>
                <c:pt idx="60">
                  <c:v>53.3</c:v>
                </c:pt>
                <c:pt idx="61">
                  <c:v>18</c:v>
                </c:pt>
                <c:pt idx="62">
                  <c:v>22.3</c:v>
                </c:pt>
                <c:pt idx="63">
                  <c:v>29</c:v>
                </c:pt>
                <c:pt idx="64">
                  <c:v>36.5</c:v>
                </c:pt>
                <c:pt idx="65">
                  <c:v>41.5</c:v>
                </c:pt>
              </c:numCache>
            </c:numRef>
          </c:xVal>
          <c:yVal>
            <c:numRef>
              <c:f>'M size classes'!$J$34:$J$99</c:f>
              <c:numCache>
                <c:formatCode>General</c:formatCode>
                <c:ptCount val="66"/>
                <c:pt idx="0">
                  <c:v>-2.7216070644070931</c:v>
                </c:pt>
                <c:pt idx="1">
                  <c:v>3.1181693618209287</c:v>
                </c:pt>
                <c:pt idx="2">
                  <c:v>1.9265319903092628</c:v>
                </c:pt>
                <c:pt idx="3">
                  <c:v>8.8206506221991194</c:v>
                </c:pt>
                <c:pt idx="4">
                  <c:v>-2.8798701821423576</c:v>
                </c:pt>
                <c:pt idx="5">
                  <c:v>-1.3924755055394593</c:v>
                </c:pt>
                <c:pt idx="6">
                  <c:v>1.1442988559688878</c:v>
                </c:pt>
                <c:pt idx="7">
                  <c:v>-1.8025995685583718</c:v>
                </c:pt>
                <c:pt idx="8">
                  <c:v>-1.910763175540565</c:v>
                </c:pt>
                <c:pt idx="9">
                  <c:v>-4.8134434574248983</c:v>
                </c:pt>
                <c:pt idx="10">
                  <c:v>-1.9475375370489152</c:v>
                </c:pt>
                <c:pt idx="11">
                  <c:v>4.2442988559688875</c:v>
                </c:pt>
                <c:pt idx="12">
                  <c:v>-1.4050808289365642</c:v>
                </c:pt>
                <c:pt idx="13">
                  <c:v>-4.5329717576150985</c:v>
                </c:pt>
                <c:pt idx="14">
                  <c:v>-1.4240883247852856</c:v>
                </c:pt>
                <c:pt idx="15">
                  <c:v>-1.500639112521656</c:v>
                </c:pt>
                <c:pt idx="16">
                  <c:v>1.5625865259699969</c:v>
                </c:pt>
                <c:pt idx="17">
                  <c:v>1.4386165093648868</c:v>
                </c:pt>
                <c:pt idx="18">
                  <c:v>-1.9297706713892899</c:v>
                </c:pt>
                <c:pt idx="19">
                  <c:v>-2.9025995685583714</c:v>
                </c:pt>
                <c:pt idx="20">
                  <c:v>-1.4398947344081954</c:v>
                </c:pt>
                <c:pt idx="21">
                  <c:v>4.1107255806863527</c:v>
                </c:pt>
                <c:pt idx="22">
                  <c:v>-1.354460513842016</c:v>
                </c:pt>
                <c:pt idx="23">
                  <c:v>0.27911276144052621</c:v>
                </c:pt>
                <c:pt idx="24">
                  <c:v>-1.1468177112012961</c:v>
                </c:pt>
                <c:pt idx="25">
                  <c:v>-1.7107631755405648</c:v>
                </c:pt>
                <c:pt idx="26">
                  <c:v>0.59687962710015152</c:v>
                </c:pt>
                <c:pt idx="27">
                  <c:v>-1.7152048919554694</c:v>
                </c:pt>
                <c:pt idx="28">
                  <c:v>-0.65570114403111224</c:v>
                </c:pt>
                <c:pt idx="29">
                  <c:v>-0.12212786874857007</c:v>
                </c:pt>
                <c:pt idx="30">
                  <c:v>-1.7208872385594738</c:v>
                </c:pt>
                <c:pt idx="31">
                  <c:v>-2.1633439466718252</c:v>
                </c:pt>
                <c:pt idx="32">
                  <c:v>-0.64681771120129594</c:v>
                </c:pt>
                <c:pt idx="33">
                  <c:v>-2.9297706713892899</c:v>
                </c:pt>
                <c:pt idx="34">
                  <c:v>0.18799619427033898</c:v>
                </c:pt>
                <c:pt idx="35">
                  <c:v>-1.6601428604460167</c:v>
                </c:pt>
                <c:pt idx="36">
                  <c:v>0.10504323408234839</c:v>
                </c:pt>
                <c:pt idx="37">
                  <c:v>-2.9487781672380118</c:v>
                </c:pt>
                <c:pt idx="38">
                  <c:v>-1.1221278687485701</c:v>
                </c:pt>
                <c:pt idx="39">
                  <c:v>1.9911972804961473</c:v>
                </c:pt>
                <c:pt idx="40">
                  <c:v>-2.2512594276162039</c:v>
                </c:pt>
                <c:pt idx="41">
                  <c:v>-0.91644552214456565</c:v>
                </c:pt>
                <c:pt idx="42">
                  <c:v>2.8665074380434215</c:v>
                </c:pt>
                <c:pt idx="43">
                  <c:v>3.8348946187975983</c:v>
                </c:pt>
                <c:pt idx="44">
                  <c:v>0.5462593120056034</c:v>
                </c:pt>
                <c:pt idx="45">
                  <c:v>-1.4917556796918396</c:v>
                </c:pt>
                <c:pt idx="46">
                  <c:v>4.1146464927597766</c:v>
                </c:pt>
                <c:pt idx="47">
                  <c:v>-1.7436166249754841</c:v>
                </c:pt>
                <c:pt idx="48">
                  <c:v>3.9013213435150593</c:v>
                </c:pt>
                <c:pt idx="49">
                  <c:v>-1.9354530179932907</c:v>
                </c:pt>
                <c:pt idx="50">
                  <c:v>-1.4354530179932907</c:v>
                </c:pt>
                <c:pt idx="51">
                  <c:v>1.7924379106852433</c:v>
                </c:pt>
                <c:pt idx="52">
                  <c:v>1.007003690119064</c:v>
                </c:pt>
                <c:pt idx="53">
                  <c:v>-0.78855459346603141</c:v>
                </c:pt>
                <c:pt idx="54">
                  <c:v>-0.96262412082420923</c:v>
                </c:pt>
                <c:pt idx="55">
                  <c:v>0.6260111859677856</c:v>
                </c:pt>
                <c:pt idx="56">
                  <c:v>-1.0322519317674825</c:v>
                </c:pt>
                <c:pt idx="57">
                  <c:v>2.7279716420045013</c:v>
                </c:pt>
                <c:pt idx="58">
                  <c:v>-0.29991928667403656</c:v>
                </c:pt>
                <c:pt idx="59">
                  <c:v>-0.92656958516347809</c:v>
                </c:pt>
                <c:pt idx="60">
                  <c:v>3.017847578985589</c:v>
                </c:pt>
                <c:pt idx="61">
                  <c:v>-1.6452552981768616</c:v>
                </c:pt>
                <c:pt idx="62">
                  <c:v>2.4870773469165819</c:v>
                </c:pt>
                <c:pt idx="63">
                  <c:v>7.0979212357831081</c:v>
                </c:pt>
                <c:pt idx="64">
                  <c:v>-3.1731127426001926E-2</c:v>
                </c:pt>
                <c:pt idx="65">
                  <c:v>4.4151672971012577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7-4BE6-B842-BB15B0454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92320"/>
        <c:axId val="161792880"/>
      </c:scatterChart>
      <c:valAx>
        <c:axId val="16179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92880"/>
        <c:crosses val="autoZero"/>
        <c:crossBetween val="midCat"/>
      </c:valAx>
      <c:valAx>
        <c:axId val="16179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792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'M size classes'!$E$2:$E$67</c:f>
              <c:numCache>
                <c:formatCode>General</c:formatCode>
                <c:ptCount val="66"/>
                <c:pt idx="0">
                  <c:v>36.299999999999997</c:v>
                </c:pt>
                <c:pt idx="1">
                  <c:v>28.6</c:v>
                </c:pt>
                <c:pt idx="2">
                  <c:v>39.299999999999997</c:v>
                </c:pt>
                <c:pt idx="3">
                  <c:v>24.6</c:v>
                </c:pt>
                <c:pt idx="4">
                  <c:v>33.5</c:v>
                </c:pt>
                <c:pt idx="5">
                  <c:v>37.700000000000003</c:v>
                </c:pt>
                <c:pt idx="6">
                  <c:v>42.9</c:v>
                </c:pt>
                <c:pt idx="7">
                  <c:v>37.9</c:v>
                </c:pt>
                <c:pt idx="8">
                  <c:v>43</c:v>
                </c:pt>
                <c:pt idx="9">
                  <c:v>31.2</c:v>
                </c:pt>
                <c:pt idx="10">
                  <c:v>37.799999999999997</c:v>
                </c:pt>
                <c:pt idx="11">
                  <c:v>42.9</c:v>
                </c:pt>
                <c:pt idx="12">
                  <c:v>41.9</c:v>
                </c:pt>
                <c:pt idx="13">
                  <c:v>38.5</c:v>
                </c:pt>
                <c:pt idx="14">
                  <c:v>40.299999999999997</c:v>
                </c:pt>
                <c:pt idx="15">
                  <c:v>42.8</c:v>
                </c:pt>
                <c:pt idx="16">
                  <c:v>37.6</c:v>
                </c:pt>
                <c:pt idx="17">
                  <c:v>44</c:v>
                </c:pt>
                <c:pt idx="18">
                  <c:v>41.4</c:v>
                </c:pt>
                <c:pt idx="19">
                  <c:v>37.9</c:v>
                </c:pt>
                <c:pt idx="20">
                  <c:v>41.6</c:v>
                </c:pt>
                <c:pt idx="21">
                  <c:v>40.6</c:v>
                </c:pt>
                <c:pt idx="22">
                  <c:v>40.9</c:v>
                </c:pt>
                <c:pt idx="23">
                  <c:v>43.2</c:v>
                </c:pt>
                <c:pt idx="24">
                  <c:v>44.7</c:v>
                </c:pt>
                <c:pt idx="25">
                  <c:v>43</c:v>
                </c:pt>
                <c:pt idx="26">
                  <c:v>46.8</c:v>
                </c:pt>
                <c:pt idx="27">
                  <c:v>42.1</c:v>
                </c:pt>
                <c:pt idx="28">
                  <c:v>42.9</c:v>
                </c:pt>
                <c:pt idx="29">
                  <c:v>45.2</c:v>
                </c:pt>
                <c:pt idx="30">
                  <c:v>43.2</c:v>
                </c:pt>
                <c:pt idx="31">
                  <c:v>39.1</c:v>
                </c:pt>
                <c:pt idx="32">
                  <c:v>44.7</c:v>
                </c:pt>
                <c:pt idx="33">
                  <c:v>41.4</c:v>
                </c:pt>
                <c:pt idx="34">
                  <c:v>45</c:v>
                </c:pt>
                <c:pt idx="35">
                  <c:v>42</c:v>
                </c:pt>
                <c:pt idx="36">
                  <c:v>41.7</c:v>
                </c:pt>
                <c:pt idx="37">
                  <c:v>39.799999999999997</c:v>
                </c:pt>
                <c:pt idx="38">
                  <c:v>45.2</c:v>
                </c:pt>
                <c:pt idx="39">
                  <c:v>47.9</c:v>
                </c:pt>
                <c:pt idx="40">
                  <c:v>43.8</c:v>
                </c:pt>
                <c:pt idx="41">
                  <c:v>44.1</c:v>
                </c:pt>
                <c:pt idx="42">
                  <c:v>47.4</c:v>
                </c:pt>
                <c:pt idx="43">
                  <c:v>50</c:v>
                </c:pt>
                <c:pt idx="44">
                  <c:v>47.8</c:v>
                </c:pt>
                <c:pt idx="45">
                  <c:v>44.6</c:v>
                </c:pt>
                <c:pt idx="46">
                  <c:v>50.4</c:v>
                </c:pt>
                <c:pt idx="47">
                  <c:v>47.6</c:v>
                </c:pt>
                <c:pt idx="48">
                  <c:v>47.7</c:v>
                </c:pt>
                <c:pt idx="49">
                  <c:v>42.5</c:v>
                </c:pt>
                <c:pt idx="50">
                  <c:v>42.5</c:v>
                </c:pt>
                <c:pt idx="51">
                  <c:v>45.9</c:v>
                </c:pt>
                <c:pt idx="52">
                  <c:v>46.6</c:v>
                </c:pt>
                <c:pt idx="53">
                  <c:v>47.5</c:v>
                </c:pt>
                <c:pt idx="54">
                  <c:v>46</c:v>
                </c:pt>
                <c:pt idx="55">
                  <c:v>48.2</c:v>
                </c:pt>
                <c:pt idx="56">
                  <c:v>45.4</c:v>
                </c:pt>
                <c:pt idx="57">
                  <c:v>53.1</c:v>
                </c:pt>
                <c:pt idx="58">
                  <c:v>49.7</c:v>
                </c:pt>
                <c:pt idx="59">
                  <c:v>44.3</c:v>
                </c:pt>
                <c:pt idx="60">
                  <c:v>53.3</c:v>
                </c:pt>
                <c:pt idx="61">
                  <c:v>18</c:v>
                </c:pt>
                <c:pt idx="62">
                  <c:v>22.3</c:v>
                </c:pt>
                <c:pt idx="63">
                  <c:v>29</c:v>
                </c:pt>
                <c:pt idx="64">
                  <c:v>36.5</c:v>
                </c:pt>
                <c:pt idx="65">
                  <c:v>41.5</c:v>
                </c:pt>
              </c:numCache>
            </c:numRef>
          </c:xVal>
          <c:yVal>
            <c:numRef>
              <c:f>'M size classes'!$F$2:$F$67</c:f>
              <c:numCache>
                <c:formatCode>General</c:formatCode>
                <c:ptCount val="66"/>
                <c:pt idx="0">
                  <c:v>2.6</c:v>
                </c:pt>
                <c:pt idx="1">
                  <c:v>11.9</c:v>
                </c:pt>
                <c:pt idx="2">
                  <c:v>5.9</c:v>
                </c:pt>
                <c:pt idx="3">
                  <c:v>19.399999999999999</c:v>
                </c:pt>
                <c:pt idx="4">
                  <c:v>3.7</c:v>
                </c:pt>
                <c:pt idx="5">
                  <c:v>3.3</c:v>
                </c:pt>
                <c:pt idx="6">
                  <c:v>3.5</c:v>
                </c:pt>
                <c:pt idx="7">
                  <c:v>2.8</c:v>
                </c:pt>
                <c:pt idx="8">
                  <c:v>0.4</c:v>
                </c:pt>
                <c:pt idx="9">
                  <c:v>2.8</c:v>
                </c:pt>
                <c:pt idx="10">
                  <c:v>2.7</c:v>
                </c:pt>
                <c:pt idx="11">
                  <c:v>6.6</c:v>
                </c:pt>
                <c:pt idx="12">
                  <c:v>1.4</c:v>
                </c:pt>
                <c:pt idx="13">
                  <c:v>-0.2</c:v>
                </c:pt>
                <c:pt idx="14">
                  <c:v>2.1</c:v>
                </c:pt>
                <c:pt idx="15">
                  <c:v>0.9</c:v>
                </c:pt>
                <c:pt idx="16">
                  <c:v>6.3</c:v>
                </c:pt>
                <c:pt idx="17">
                  <c:v>3.3</c:v>
                </c:pt>
                <c:pt idx="18">
                  <c:v>1.1000000000000001</c:v>
                </c:pt>
                <c:pt idx="19">
                  <c:v>1.7</c:v>
                </c:pt>
                <c:pt idx="20">
                  <c:v>1.5</c:v>
                </c:pt>
                <c:pt idx="21">
                  <c:v>7.5</c:v>
                </c:pt>
                <c:pt idx="22">
                  <c:v>1.9</c:v>
                </c:pt>
                <c:pt idx="23">
                  <c:v>2.5</c:v>
                </c:pt>
                <c:pt idx="24">
                  <c:v>0.4</c:v>
                </c:pt>
                <c:pt idx="25">
                  <c:v>0.6</c:v>
                </c:pt>
                <c:pt idx="26">
                  <c:v>1.2</c:v>
                </c:pt>
                <c:pt idx="27">
                  <c:v>1</c:v>
                </c:pt>
                <c:pt idx="28">
                  <c:v>1.7</c:v>
                </c:pt>
                <c:pt idx="29">
                  <c:v>1.2</c:v>
                </c:pt>
                <c:pt idx="30">
                  <c:v>0.5</c:v>
                </c:pt>
                <c:pt idx="31">
                  <c:v>1.9</c:v>
                </c:pt>
                <c:pt idx="32">
                  <c:v>0.9</c:v>
                </c:pt>
                <c:pt idx="33">
                  <c:v>0.1</c:v>
                </c:pt>
                <c:pt idx="34">
                  <c:v>1.6</c:v>
                </c:pt>
                <c:pt idx="35">
                  <c:v>1.1000000000000001</c:v>
                </c:pt>
                <c:pt idx="36">
                  <c:v>3</c:v>
                </c:pt>
                <c:pt idx="37">
                  <c:v>0.8</c:v>
                </c:pt>
                <c:pt idx="38">
                  <c:v>0.2</c:v>
                </c:pt>
                <c:pt idx="39">
                  <c:v>2.1</c:v>
                </c:pt>
                <c:pt idx="40">
                  <c:v>-0.3</c:v>
                </c:pt>
                <c:pt idx="41">
                  <c:v>0.9</c:v>
                </c:pt>
                <c:pt idx="42">
                  <c:v>3.2</c:v>
                </c:pt>
                <c:pt idx="43">
                  <c:v>3</c:v>
                </c:pt>
                <c:pt idx="44">
                  <c:v>0.7</c:v>
                </c:pt>
                <c:pt idx="45">
                  <c:v>0.1</c:v>
                </c:pt>
                <c:pt idx="46">
                  <c:v>3.1</c:v>
                </c:pt>
                <c:pt idx="47">
                  <c:v>-1.5</c:v>
                </c:pt>
                <c:pt idx="48">
                  <c:v>4.0999999999999996</c:v>
                </c:pt>
                <c:pt idx="49">
                  <c:v>0.6</c:v>
                </c:pt>
                <c:pt idx="50">
                  <c:v>1.1000000000000001</c:v>
                </c:pt>
                <c:pt idx="51">
                  <c:v>2.8</c:v>
                </c:pt>
                <c:pt idx="52">
                  <c:v>1.7</c:v>
                </c:pt>
                <c:pt idx="53">
                  <c:v>-0.5</c:v>
                </c:pt>
                <c:pt idx="54">
                  <c:v>0</c:v>
                </c:pt>
                <c:pt idx="55">
                  <c:v>0.6</c:v>
                </c:pt>
                <c:pt idx="56">
                  <c:v>0.2</c:v>
                </c:pt>
                <c:pt idx="57">
                  <c:v>0.5</c:v>
                </c:pt>
                <c:pt idx="58">
                  <c:v>-1</c:v>
                </c:pt>
                <c:pt idx="59">
                  <c:v>0.8</c:v>
                </c:pt>
                <c:pt idx="60">
                  <c:v>0.7</c:v>
                </c:pt>
                <c:pt idx="61">
                  <c:v>11.9</c:v>
                </c:pt>
                <c:pt idx="62">
                  <c:v>14.1</c:v>
                </c:pt>
                <c:pt idx="63">
                  <c:v>15.7</c:v>
                </c:pt>
                <c:pt idx="64">
                  <c:v>5.2</c:v>
                </c:pt>
                <c:pt idx="65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0-48B7-A896-98F07DD4C4B2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'M size classes'!$E$2:$E$67</c:f>
              <c:numCache>
                <c:formatCode>General</c:formatCode>
                <c:ptCount val="66"/>
                <c:pt idx="0">
                  <c:v>36.299999999999997</c:v>
                </c:pt>
                <c:pt idx="1">
                  <c:v>28.6</c:v>
                </c:pt>
                <c:pt idx="2">
                  <c:v>39.299999999999997</c:v>
                </c:pt>
                <c:pt idx="3">
                  <c:v>24.6</c:v>
                </c:pt>
                <c:pt idx="4">
                  <c:v>33.5</c:v>
                </c:pt>
                <c:pt idx="5">
                  <c:v>37.700000000000003</c:v>
                </c:pt>
                <c:pt idx="6">
                  <c:v>42.9</c:v>
                </c:pt>
                <c:pt idx="7">
                  <c:v>37.9</c:v>
                </c:pt>
                <c:pt idx="8">
                  <c:v>43</c:v>
                </c:pt>
                <c:pt idx="9">
                  <c:v>31.2</c:v>
                </c:pt>
                <c:pt idx="10">
                  <c:v>37.799999999999997</c:v>
                </c:pt>
                <c:pt idx="11">
                  <c:v>42.9</c:v>
                </c:pt>
                <c:pt idx="12">
                  <c:v>41.9</c:v>
                </c:pt>
                <c:pt idx="13">
                  <c:v>38.5</c:v>
                </c:pt>
                <c:pt idx="14">
                  <c:v>40.299999999999997</c:v>
                </c:pt>
                <c:pt idx="15">
                  <c:v>42.8</c:v>
                </c:pt>
                <c:pt idx="16">
                  <c:v>37.6</c:v>
                </c:pt>
                <c:pt idx="17">
                  <c:v>44</c:v>
                </c:pt>
                <c:pt idx="18">
                  <c:v>41.4</c:v>
                </c:pt>
                <c:pt idx="19">
                  <c:v>37.9</c:v>
                </c:pt>
                <c:pt idx="20">
                  <c:v>41.6</c:v>
                </c:pt>
                <c:pt idx="21">
                  <c:v>40.6</c:v>
                </c:pt>
                <c:pt idx="22">
                  <c:v>40.9</c:v>
                </c:pt>
                <c:pt idx="23">
                  <c:v>43.2</c:v>
                </c:pt>
                <c:pt idx="24">
                  <c:v>44.7</c:v>
                </c:pt>
                <c:pt idx="25">
                  <c:v>43</c:v>
                </c:pt>
                <c:pt idx="26">
                  <c:v>46.8</c:v>
                </c:pt>
                <c:pt idx="27">
                  <c:v>42.1</c:v>
                </c:pt>
                <c:pt idx="28">
                  <c:v>42.9</c:v>
                </c:pt>
                <c:pt idx="29">
                  <c:v>45.2</c:v>
                </c:pt>
                <c:pt idx="30">
                  <c:v>43.2</c:v>
                </c:pt>
                <c:pt idx="31">
                  <c:v>39.1</c:v>
                </c:pt>
                <c:pt idx="32">
                  <c:v>44.7</c:v>
                </c:pt>
                <c:pt idx="33">
                  <c:v>41.4</c:v>
                </c:pt>
                <c:pt idx="34">
                  <c:v>45</c:v>
                </c:pt>
                <c:pt idx="35">
                  <c:v>42</c:v>
                </c:pt>
                <c:pt idx="36">
                  <c:v>41.7</c:v>
                </c:pt>
                <c:pt idx="37">
                  <c:v>39.799999999999997</c:v>
                </c:pt>
                <c:pt idx="38">
                  <c:v>45.2</c:v>
                </c:pt>
                <c:pt idx="39">
                  <c:v>47.9</c:v>
                </c:pt>
                <c:pt idx="40">
                  <c:v>43.8</c:v>
                </c:pt>
                <c:pt idx="41">
                  <c:v>44.1</c:v>
                </c:pt>
                <c:pt idx="42">
                  <c:v>47.4</c:v>
                </c:pt>
                <c:pt idx="43">
                  <c:v>50</c:v>
                </c:pt>
                <c:pt idx="44">
                  <c:v>47.8</c:v>
                </c:pt>
                <c:pt idx="45">
                  <c:v>44.6</c:v>
                </c:pt>
                <c:pt idx="46">
                  <c:v>50.4</c:v>
                </c:pt>
                <c:pt idx="47">
                  <c:v>47.6</c:v>
                </c:pt>
                <c:pt idx="48">
                  <c:v>47.7</c:v>
                </c:pt>
                <c:pt idx="49">
                  <c:v>42.5</c:v>
                </c:pt>
                <c:pt idx="50">
                  <c:v>42.5</c:v>
                </c:pt>
                <c:pt idx="51">
                  <c:v>45.9</c:v>
                </c:pt>
                <c:pt idx="52">
                  <c:v>46.6</c:v>
                </c:pt>
                <c:pt idx="53">
                  <c:v>47.5</c:v>
                </c:pt>
                <c:pt idx="54">
                  <c:v>46</c:v>
                </c:pt>
                <c:pt idx="55">
                  <c:v>48.2</c:v>
                </c:pt>
                <c:pt idx="56">
                  <c:v>45.4</c:v>
                </c:pt>
                <c:pt idx="57">
                  <c:v>53.1</c:v>
                </c:pt>
                <c:pt idx="58">
                  <c:v>49.7</c:v>
                </c:pt>
                <c:pt idx="59">
                  <c:v>44.3</c:v>
                </c:pt>
                <c:pt idx="60">
                  <c:v>53.3</c:v>
                </c:pt>
                <c:pt idx="61">
                  <c:v>18</c:v>
                </c:pt>
                <c:pt idx="62">
                  <c:v>22.3</c:v>
                </c:pt>
                <c:pt idx="63">
                  <c:v>29</c:v>
                </c:pt>
                <c:pt idx="64">
                  <c:v>36.5</c:v>
                </c:pt>
                <c:pt idx="65">
                  <c:v>41.5</c:v>
                </c:pt>
              </c:numCache>
            </c:numRef>
          </c:xVal>
          <c:yVal>
            <c:numRef>
              <c:f>'M size classes'!$I$34:$I$99</c:f>
              <c:numCache>
                <c:formatCode>General</c:formatCode>
                <c:ptCount val="66"/>
                <c:pt idx="0">
                  <c:v>5.3216070644070932</c:v>
                </c:pt>
                <c:pt idx="1">
                  <c:v>8.7818306381790716</c:v>
                </c:pt>
                <c:pt idx="2">
                  <c:v>3.9734680096907375</c:v>
                </c:pt>
                <c:pt idx="3">
                  <c:v>10.579349377800879</c:v>
                </c:pt>
                <c:pt idx="4">
                  <c:v>6.5798701821423577</c:v>
                </c:pt>
                <c:pt idx="5">
                  <c:v>4.6924755055394591</c:v>
                </c:pt>
                <c:pt idx="6">
                  <c:v>2.3557011440311122</c:v>
                </c:pt>
                <c:pt idx="7">
                  <c:v>4.6025995685583716</c:v>
                </c:pt>
                <c:pt idx="8">
                  <c:v>2.3107631755405649</c:v>
                </c:pt>
                <c:pt idx="9">
                  <c:v>7.6134434574248981</c:v>
                </c:pt>
                <c:pt idx="10">
                  <c:v>4.6475375370489154</c:v>
                </c:pt>
                <c:pt idx="11">
                  <c:v>2.3557011440311122</c:v>
                </c:pt>
                <c:pt idx="12">
                  <c:v>2.8050808289365641</c:v>
                </c:pt>
                <c:pt idx="13">
                  <c:v>4.3329717576150983</c:v>
                </c:pt>
                <c:pt idx="14">
                  <c:v>3.5240883247852857</c:v>
                </c:pt>
                <c:pt idx="15">
                  <c:v>2.400639112521656</c:v>
                </c:pt>
                <c:pt idx="16">
                  <c:v>4.7374134740300029</c:v>
                </c:pt>
                <c:pt idx="17">
                  <c:v>1.861383490635113</c:v>
                </c:pt>
                <c:pt idx="18">
                  <c:v>3.02977067138929</c:v>
                </c:pt>
                <c:pt idx="19">
                  <c:v>4.6025995685583716</c:v>
                </c:pt>
                <c:pt idx="20">
                  <c:v>2.9398947344081954</c:v>
                </c:pt>
                <c:pt idx="21">
                  <c:v>3.3892744193136473</c:v>
                </c:pt>
                <c:pt idx="22">
                  <c:v>3.254460513842016</c:v>
                </c:pt>
                <c:pt idx="23">
                  <c:v>2.2208872385594738</c:v>
                </c:pt>
                <c:pt idx="24">
                  <c:v>1.546817711201296</c:v>
                </c:pt>
                <c:pt idx="25">
                  <c:v>2.3107631755405649</c:v>
                </c:pt>
                <c:pt idx="26">
                  <c:v>0.60312037289984843</c:v>
                </c:pt>
                <c:pt idx="27">
                  <c:v>2.7152048919554694</c:v>
                </c:pt>
                <c:pt idx="28">
                  <c:v>2.3557011440311122</c:v>
                </c:pt>
                <c:pt idx="29">
                  <c:v>1.32212786874857</c:v>
                </c:pt>
                <c:pt idx="30">
                  <c:v>2.2208872385594738</c:v>
                </c:pt>
                <c:pt idx="31">
                  <c:v>4.0633439466718251</c:v>
                </c:pt>
                <c:pt idx="32">
                  <c:v>1.546817711201296</c:v>
                </c:pt>
                <c:pt idx="33">
                  <c:v>3.02977067138929</c:v>
                </c:pt>
                <c:pt idx="34">
                  <c:v>1.4120038057296611</c:v>
                </c:pt>
                <c:pt idx="35">
                  <c:v>2.7601428604460168</c:v>
                </c:pt>
                <c:pt idx="36">
                  <c:v>2.8949567659176516</c:v>
                </c:pt>
                <c:pt idx="37">
                  <c:v>3.7487781672380116</c:v>
                </c:pt>
                <c:pt idx="38">
                  <c:v>1.32212786874857</c:v>
                </c:pt>
                <c:pt idx="39">
                  <c:v>0.10880271950385279</c:v>
                </c:pt>
                <c:pt idx="40">
                  <c:v>1.9512594276162041</c:v>
                </c:pt>
                <c:pt idx="41">
                  <c:v>1.8164455221445657</c:v>
                </c:pt>
                <c:pt idx="42">
                  <c:v>0.33349256195657873</c:v>
                </c:pt>
                <c:pt idx="43">
                  <c:v>-0.8348946187975983</c:v>
                </c:pt>
                <c:pt idx="44">
                  <c:v>0.15374068799439655</c:v>
                </c:pt>
                <c:pt idx="45">
                  <c:v>1.5917556796918397</c:v>
                </c:pt>
                <c:pt idx="46">
                  <c:v>-1.0146464927597769</c:v>
                </c:pt>
                <c:pt idx="47">
                  <c:v>0.24361662497548409</c:v>
                </c:pt>
                <c:pt idx="48">
                  <c:v>0.19867865648494032</c:v>
                </c:pt>
                <c:pt idx="49">
                  <c:v>2.5354530179932908</c:v>
                </c:pt>
                <c:pt idx="50">
                  <c:v>2.5354530179932908</c:v>
                </c:pt>
                <c:pt idx="51">
                  <c:v>1.0075620893147565</c:v>
                </c:pt>
                <c:pt idx="52">
                  <c:v>0.69299630988093597</c:v>
                </c:pt>
                <c:pt idx="53">
                  <c:v>0.28855459346603141</c:v>
                </c:pt>
                <c:pt idx="54">
                  <c:v>0.96262412082420923</c:v>
                </c:pt>
                <c:pt idx="55">
                  <c:v>-2.6011185967785622E-2</c:v>
                </c:pt>
                <c:pt idx="56">
                  <c:v>1.2322519317674825</c:v>
                </c:pt>
                <c:pt idx="57">
                  <c:v>-2.2279716420045013</c:v>
                </c:pt>
                <c:pt idx="58">
                  <c:v>-0.70008071332596344</c:v>
                </c:pt>
                <c:pt idx="59">
                  <c:v>1.7265695851634781</c:v>
                </c:pt>
                <c:pt idx="60">
                  <c:v>-2.3178475789855888</c:v>
                </c:pt>
                <c:pt idx="61">
                  <c:v>13.545255298176862</c:v>
                </c:pt>
                <c:pt idx="62">
                  <c:v>11.612922653083418</c:v>
                </c:pt>
                <c:pt idx="63">
                  <c:v>8.6020787642168912</c:v>
                </c:pt>
                <c:pt idx="64">
                  <c:v>5.2317311274260021</c:v>
                </c:pt>
                <c:pt idx="65">
                  <c:v>2.9848327028987427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0-48B7-A896-98F07DD4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1168"/>
        <c:axId val="164911728"/>
      </c:scatterChart>
      <c:valAx>
        <c:axId val="16491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1728"/>
        <c:crosses val="autoZero"/>
        <c:crossBetween val="midCat"/>
      </c:valAx>
      <c:valAx>
        <c:axId val="16491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1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'F size classes'!$A$2:$A$66</c:f>
              <c:numCache>
                <c:formatCode>General</c:formatCode>
                <c:ptCount val="65"/>
                <c:pt idx="0">
                  <c:v>57.5</c:v>
                </c:pt>
                <c:pt idx="1">
                  <c:v>50.4</c:v>
                </c:pt>
                <c:pt idx="2">
                  <c:v>54.9</c:v>
                </c:pt>
                <c:pt idx="3">
                  <c:v>56</c:v>
                </c:pt>
                <c:pt idx="4">
                  <c:v>54</c:v>
                </c:pt>
                <c:pt idx="5">
                  <c:v>52.6</c:v>
                </c:pt>
                <c:pt idx="6">
                  <c:v>53.8</c:v>
                </c:pt>
                <c:pt idx="7">
                  <c:v>56</c:v>
                </c:pt>
                <c:pt idx="8">
                  <c:v>59.4</c:v>
                </c:pt>
                <c:pt idx="9">
                  <c:v>58.2</c:v>
                </c:pt>
                <c:pt idx="10">
                  <c:v>53.4</c:v>
                </c:pt>
                <c:pt idx="11">
                  <c:v>56.7</c:v>
                </c:pt>
                <c:pt idx="12">
                  <c:v>54.9</c:v>
                </c:pt>
                <c:pt idx="13">
                  <c:v>56.9</c:v>
                </c:pt>
                <c:pt idx="14">
                  <c:v>55.3</c:v>
                </c:pt>
                <c:pt idx="15">
                  <c:v>65.099999999999994</c:v>
                </c:pt>
                <c:pt idx="16">
                  <c:v>53.2</c:v>
                </c:pt>
                <c:pt idx="17">
                  <c:v>65</c:v>
                </c:pt>
                <c:pt idx="18">
                  <c:v>59.3</c:v>
                </c:pt>
                <c:pt idx="19">
                  <c:v>60.6</c:v>
                </c:pt>
                <c:pt idx="20">
                  <c:v>53.9</c:v>
                </c:pt>
                <c:pt idx="21">
                  <c:v>58.7</c:v>
                </c:pt>
                <c:pt idx="22">
                  <c:v>50</c:v>
                </c:pt>
                <c:pt idx="23">
                  <c:v>55.5</c:v>
                </c:pt>
                <c:pt idx="24">
                  <c:v>53.7</c:v>
                </c:pt>
                <c:pt idx="25">
                  <c:v>54.2</c:v>
                </c:pt>
                <c:pt idx="26">
                  <c:v>56.6</c:v>
                </c:pt>
                <c:pt idx="27">
                  <c:v>46</c:v>
                </c:pt>
                <c:pt idx="28">
                  <c:v>57.7</c:v>
                </c:pt>
                <c:pt idx="29">
                  <c:v>59.4</c:v>
                </c:pt>
                <c:pt idx="30">
                  <c:v>47.2</c:v>
                </c:pt>
                <c:pt idx="31">
                  <c:v>55.5</c:v>
                </c:pt>
                <c:pt idx="32">
                  <c:v>54.9</c:v>
                </c:pt>
                <c:pt idx="33">
                  <c:v>56.2</c:v>
                </c:pt>
                <c:pt idx="34">
                  <c:v>58.4</c:v>
                </c:pt>
                <c:pt idx="35">
                  <c:v>56.7</c:v>
                </c:pt>
                <c:pt idx="36">
                  <c:v>54.6</c:v>
                </c:pt>
                <c:pt idx="37">
                  <c:v>60.7</c:v>
                </c:pt>
                <c:pt idx="38">
                  <c:v>60.9</c:v>
                </c:pt>
                <c:pt idx="39">
                  <c:v>52.6</c:v>
                </c:pt>
                <c:pt idx="40">
                  <c:v>58.8</c:v>
                </c:pt>
                <c:pt idx="41">
                  <c:v>57.4</c:v>
                </c:pt>
                <c:pt idx="42">
                  <c:v>49.4</c:v>
                </c:pt>
                <c:pt idx="43">
                  <c:v>54.4</c:v>
                </c:pt>
                <c:pt idx="44">
                  <c:v>58.3</c:v>
                </c:pt>
                <c:pt idx="45">
                  <c:v>54.2</c:v>
                </c:pt>
                <c:pt idx="46">
                  <c:v>47.7</c:v>
                </c:pt>
                <c:pt idx="47">
                  <c:v>51.8</c:v>
                </c:pt>
                <c:pt idx="48">
                  <c:v>57.6</c:v>
                </c:pt>
                <c:pt idx="49">
                  <c:v>52.7</c:v>
                </c:pt>
                <c:pt idx="50">
                  <c:v>49.6</c:v>
                </c:pt>
                <c:pt idx="51">
                  <c:v>45.8</c:v>
                </c:pt>
                <c:pt idx="52">
                  <c:v>48.7</c:v>
                </c:pt>
                <c:pt idx="53">
                  <c:v>59.2</c:v>
                </c:pt>
                <c:pt idx="54">
                  <c:v>43.6</c:v>
                </c:pt>
                <c:pt idx="55">
                  <c:v>50.8</c:v>
                </c:pt>
                <c:pt idx="56">
                  <c:v>47.6</c:v>
                </c:pt>
                <c:pt idx="57">
                  <c:v>43.4</c:v>
                </c:pt>
                <c:pt idx="58">
                  <c:v>40.6</c:v>
                </c:pt>
                <c:pt idx="59">
                  <c:v>44.8</c:v>
                </c:pt>
                <c:pt idx="60">
                  <c:v>31.1</c:v>
                </c:pt>
                <c:pt idx="61">
                  <c:v>45.6</c:v>
                </c:pt>
                <c:pt idx="62">
                  <c:v>51.2</c:v>
                </c:pt>
                <c:pt idx="63">
                  <c:v>28.7</c:v>
                </c:pt>
                <c:pt idx="64">
                  <c:v>29.8</c:v>
                </c:pt>
              </c:numCache>
            </c:numRef>
          </c:xVal>
          <c:yVal>
            <c:numRef>
              <c:f>'F size classes'!$F$27:$F$91</c:f>
              <c:numCache>
                <c:formatCode>General</c:formatCode>
                <c:ptCount val="65"/>
                <c:pt idx="0">
                  <c:v>-2.5658931477740552</c:v>
                </c:pt>
                <c:pt idx="1">
                  <c:v>-3.9552937257756442</c:v>
                </c:pt>
                <c:pt idx="2">
                  <c:v>-2.1507440636619592</c:v>
                </c:pt>
                <c:pt idx="3">
                  <c:v>-1.4340763684786169</c:v>
                </c:pt>
                <c:pt idx="4">
                  <c:v>-2.0916539960846956</c:v>
                </c:pt>
                <c:pt idx="5">
                  <c:v>-2.5219583354089523</c:v>
                </c:pt>
                <c:pt idx="6">
                  <c:v>-1.9674117588453051</c:v>
                </c:pt>
                <c:pt idx="7">
                  <c:v>-1.1340763684786168</c:v>
                </c:pt>
                <c:pt idx="8">
                  <c:v>0.15380559845172215</c:v>
                </c:pt>
                <c:pt idx="9">
                  <c:v>-0.20074097811192504</c:v>
                </c:pt>
                <c:pt idx="10">
                  <c:v>-2.0189272843665207</c:v>
                </c:pt>
                <c:pt idx="11">
                  <c:v>-0.66892419881648668</c:v>
                </c:pt>
                <c:pt idx="12">
                  <c:v>-1.2507440636619591</c:v>
                </c:pt>
                <c:pt idx="13">
                  <c:v>-0.49316643605588051</c:v>
                </c:pt>
                <c:pt idx="14">
                  <c:v>-0.99922853814074342</c:v>
                </c:pt>
                <c:pt idx="15">
                  <c:v>2.8129018371290542</c:v>
                </c:pt>
                <c:pt idx="16">
                  <c:v>-1.5946850471271268</c:v>
                </c:pt>
                <c:pt idx="17">
                  <c:v>2.875022955748753</c:v>
                </c:pt>
                <c:pt idx="18">
                  <c:v>0.81592671707141728</c:v>
                </c:pt>
                <c:pt idx="19">
                  <c:v>1.3083521750153728</c:v>
                </c:pt>
                <c:pt idx="20">
                  <c:v>-1.1295328774650002</c:v>
                </c:pt>
                <c:pt idx="21">
                  <c:v>0.68865342878959557</c:v>
                </c:pt>
                <c:pt idx="22">
                  <c:v>-2.6068092512968599</c:v>
                </c:pt>
                <c:pt idx="23">
                  <c:v>-0.42347077538013389</c:v>
                </c:pt>
                <c:pt idx="24">
                  <c:v>-1.1052906402256064</c:v>
                </c:pt>
                <c:pt idx="25">
                  <c:v>-0.91589623332408587</c:v>
                </c:pt>
                <c:pt idx="26">
                  <c:v>9.3196919803208544E-2</c:v>
                </c:pt>
                <c:pt idx="27">
                  <c:v>-3.9219645065090241</c:v>
                </c:pt>
                <c:pt idx="28">
                  <c:v>0.50986461498655444</c:v>
                </c:pt>
                <c:pt idx="29">
                  <c:v>1.1538055984517221</c:v>
                </c:pt>
                <c:pt idx="30">
                  <c:v>-3.3674179299453733</c:v>
                </c:pt>
                <c:pt idx="31">
                  <c:v>-0.22347077538013371</c:v>
                </c:pt>
                <c:pt idx="32">
                  <c:v>-0.45074406366195907</c:v>
                </c:pt>
                <c:pt idx="33">
                  <c:v>4.1681394281992912E-2</c:v>
                </c:pt>
                <c:pt idx="34">
                  <c:v>0.97501678464868102</c:v>
                </c:pt>
                <c:pt idx="35">
                  <c:v>0.43107580118351341</c:v>
                </c:pt>
                <c:pt idx="36">
                  <c:v>-0.36438070780287002</c:v>
                </c:pt>
                <c:pt idx="37">
                  <c:v>2.0462310563956776</c:v>
                </c:pt>
                <c:pt idx="38">
                  <c:v>2.1219888191562837</c:v>
                </c:pt>
                <c:pt idx="39">
                  <c:v>-0.82195833540895213</c:v>
                </c:pt>
                <c:pt idx="40">
                  <c:v>1.626532310169897</c:v>
                </c:pt>
                <c:pt idx="41">
                  <c:v>1.0962279708456402</c:v>
                </c:pt>
                <c:pt idx="42">
                  <c:v>-1.8340825395786853</c:v>
                </c:pt>
                <c:pt idx="43">
                  <c:v>0.35986152943652039</c:v>
                </c:pt>
                <c:pt idx="44">
                  <c:v>2.0371379032683761</c:v>
                </c:pt>
                <c:pt idx="45">
                  <c:v>0.48410376667591404</c:v>
                </c:pt>
                <c:pt idx="46">
                  <c:v>-1.8780235230438529</c:v>
                </c:pt>
                <c:pt idx="47">
                  <c:v>-0.32498938645138731</c:v>
                </c:pt>
                <c:pt idx="48">
                  <c:v>1.9719857336062496</c:v>
                </c:pt>
                <c:pt idx="49">
                  <c:v>0.1159205459713526</c:v>
                </c:pt>
                <c:pt idx="50">
                  <c:v>-0.95832477681807537</c:v>
                </c:pt>
                <c:pt idx="51">
                  <c:v>-1.7977222692696335</c:v>
                </c:pt>
                <c:pt idx="52">
                  <c:v>-0.49923470924081181</c:v>
                </c:pt>
                <c:pt idx="53">
                  <c:v>3.5780478356911161</c:v>
                </c:pt>
                <c:pt idx="54">
                  <c:v>-1.9310576596363216</c:v>
                </c:pt>
                <c:pt idx="55">
                  <c:v>0.8962217997455717</c:v>
                </c:pt>
                <c:pt idx="56">
                  <c:v>-0.21590240442415798</c:v>
                </c:pt>
                <c:pt idx="57">
                  <c:v>-1.3068154223969319</c:v>
                </c:pt>
                <c:pt idx="58">
                  <c:v>-2.1674241010454436</c:v>
                </c:pt>
                <c:pt idx="59">
                  <c:v>0.72348891692732487</c:v>
                </c:pt>
                <c:pt idx="60">
                  <c:v>-4.1659178321743315</c:v>
                </c:pt>
                <c:pt idx="61">
                  <c:v>2.9265199679697602</c:v>
                </c:pt>
                <c:pt idx="62">
                  <c:v>10.647737325266791</c:v>
                </c:pt>
                <c:pt idx="63">
                  <c:v>6.424989014698367</c:v>
                </c:pt>
                <c:pt idx="64">
                  <c:v>8.5416567098817158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7-4A49-B5BD-00C67A7B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2848"/>
        <c:axId val="164913408"/>
      </c:scatterChart>
      <c:valAx>
        <c:axId val="16491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3408"/>
        <c:crosses val="autoZero"/>
        <c:crossBetween val="midCat"/>
      </c:valAx>
      <c:valAx>
        <c:axId val="164913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2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'F size classes'!$A$2:$A$66</c:f>
              <c:numCache>
                <c:formatCode>General</c:formatCode>
                <c:ptCount val="65"/>
                <c:pt idx="0">
                  <c:v>57.5</c:v>
                </c:pt>
                <c:pt idx="1">
                  <c:v>50.4</c:v>
                </c:pt>
                <c:pt idx="2">
                  <c:v>54.9</c:v>
                </c:pt>
                <c:pt idx="3">
                  <c:v>56</c:v>
                </c:pt>
                <c:pt idx="4">
                  <c:v>54</c:v>
                </c:pt>
                <c:pt idx="5">
                  <c:v>52.6</c:v>
                </c:pt>
                <c:pt idx="6">
                  <c:v>53.8</c:v>
                </c:pt>
                <c:pt idx="7">
                  <c:v>56</c:v>
                </c:pt>
                <c:pt idx="8">
                  <c:v>59.4</c:v>
                </c:pt>
                <c:pt idx="9">
                  <c:v>58.2</c:v>
                </c:pt>
                <c:pt idx="10">
                  <c:v>53.4</c:v>
                </c:pt>
                <c:pt idx="11">
                  <c:v>56.7</c:v>
                </c:pt>
                <c:pt idx="12">
                  <c:v>54.9</c:v>
                </c:pt>
                <c:pt idx="13">
                  <c:v>56.9</c:v>
                </c:pt>
                <c:pt idx="14">
                  <c:v>55.3</c:v>
                </c:pt>
                <c:pt idx="15">
                  <c:v>65.099999999999994</c:v>
                </c:pt>
                <c:pt idx="16">
                  <c:v>53.2</c:v>
                </c:pt>
                <c:pt idx="17">
                  <c:v>65</c:v>
                </c:pt>
                <c:pt idx="18">
                  <c:v>59.3</c:v>
                </c:pt>
                <c:pt idx="19">
                  <c:v>60.6</c:v>
                </c:pt>
                <c:pt idx="20">
                  <c:v>53.9</c:v>
                </c:pt>
                <c:pt idx="21">
                  <c:v>58.7</c:v>
                </c:pt>
                <c:pt idx="22">
                  <c:v>50</c:v>
                </c:pt>
                <c:pt idx="23">
                  <c:v>55.5</c:v>
                </c:pt>
                <c:pt idx="24">
                  <c:v>53.7</c:v>
                </c:pt>
                <c:pt idx="25">
                  <c:v>54.2</c:v>
                </c:pt>
                <c:pt idx="26">
                  <c:v>56.6</c:v>
                </c:pt>
                <c:pt idx="27">
                  <c:v>46</c:v>
                </c:pt>
                <c:pt idx="28">
                  <c:v>57.7</c:v>
                </c:pt>
                <c:pt idx="29">
                  <c:v>59.4</c:v>
                </c:pt>
                <c:pt idx="30">
                  <c:v>47.2</c:v>
                </c:pt>
                <c:pt idx="31">
                  <c:v>55.5</c:v>
                </c:pt>
                <c:pt idx="32">
                  <c:v>54.9</c:v>
                </c:pt>
                <c:pt idx="33">
                  <c:v>56.2</c:v>
                </c:pt>
                <c:pt idx="34">
                  <c:v>58.4</c:v>
                </c:pt>
                <c:pt idx="35">
                  <c:v>56.7</c:v>
                </c:pt>
                <c:pt idx="36">
                  <c:v>54.6</c:v>
                </c:pt>
                <c:pt idx="37">
                  <c:v>60.7</c:v>
                </c:pt>
                <c:pt idx="38">
                  <c:v>60.9</c:v>
                </c:pt>
                <c:pt idx="39">
                  <c:v>52.6</c:v>
                </c:pt>
                <c:pt idx="40">
                  <c:v>58.8</c:v>
                </c:pt>
                <c:pt idx="41">
                  <c:v>57.4</c:v>
                </c:pt>
                <c:pt idx="42">
                  <c:v>49.4</c:v>
                </c:pt>
                <c:pt idx="43">
                  <c:v>54.4</c:v>
                </c:pt>
                <c:pt idx="44">
                  <c:v>58.3</c:v>
                </c:pt>
                <c:pt idx="45">
                  <c:v>54.2</c:v>
                </c:pt>
                <c:pt idx="46">
                  <c:v>47.7</c:v>
                </c:pt>
                <c:pt idx="47">
                  <c:v>51.8</c:v>
                </c:pt>
                <c:pt idx="48">
                  <c:v>57.6</c:v>
                </c:pt>
                <c:pt idx="49">
                  <c:v>52.7</c:v>
                </c:pt>
                <c:pt idx="50">
                  <c:v>49.6</c:v>
                </c:pt>
                <c:pt idx="51">
                  <c:v>45.8</c:v>
                </c:pt>
                <c:pt idx="52">
                  <c:v>48.7</c:v>
                </c:pt>
                <c:pt idx="53">
                  <c:v>59.2</c:v>
                </c:pt>
                <c:pt idx="54">
                  <c:v>43.6</c:v>
                </c:pt>
                <c:pt idx="55">
                  <c:v>50.8</c:v>
                </c:pt>
                <c:pt idx="56">
                  <c:v>47.6</c:v>
                </c:pt>
                <c:pt idx="57">
                  <c:v>43.4</c:v>
                </c:pt>
                <c:pt idx="58">
                  <c:v>40.6</c:v>
                </c:pt>
                <c:pt idx="59">
                  <c:v>44.8</c:v>
                </c:pt>
                <c:pt idx="60">
                  <c:v>31.1</c:v>
                </c:pt>
                <c:pt idx="61">
                  <c:v>45.6</c:v>
                </c:pt>
                <c:pt idx="62">
                  <c:v>51.2</c:v>
                </c:pt>
                <c:pt idx="63">
                  <c:v>28.7</c:v>
                </c:pt>
                <c:pt idx="64">
                  <c:v>29.8</c:v>
                </c:pt>
              </c:numCache>
            </c:numRef>
          </c:xVal>
          <c:yVal>
            <c:numRef>
              <c:f>'F size classes'!$B$2:$B$66</c:f>
              <c:numCache>
                <c:formatCode>General</c:formatCode>
                <c:ptCount val="65"/>
                <c:pt idx="0">
                  <c:v>-1.5</c:v>
                </c:pt>
                <c:pt idx="1">
                  <c:v>-0.2</c:v>
                </c:pt>
                <c:pt idx="2">
                  <c:v>-0.1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1.2</c:v>
                </c:pt>
                <c:pt idx="19">
                  <c:v>1.2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1.6</c:v>
                </c:pt>
                <c:pt idx="31">
                  <c:v>1.6</c:v>
                </c:pt>
                <c:pt idx="32">
                  <c:v>1.6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2.1</c:v>
                </c:pt>
                <c:pt idx="40">
                  <c:v>2.2000000000000002</c:v>
                </c:pt>
                <c:pt idx="41">
                  <c:v>2.2000000000000002</c:v>
                </c:pt>
                <c:pt idx="42">
                  <c:v>2.2999999999999998</c:v>
                </c:pt>
                <c:pt idx="43">
                  <c:v>2.6</c:v>
                </c:pt>
                <c:pt idx="44">
                  <c:v>2.8</c:v>
                </c:pt>
                <c:pt idx="45">
                  <c:v>2.8</c:v>
                </c:pt>
                <c:pt idx="46">
                  <c:v>2.9</c:v>
                </c:pt>
                <c:pt idx="47">
                  <c:v>2.9</c:v>
                </c:pt>
                <c:pt idx="48">
                  <c:v>3</c:v>
                </c:pt>
                <c:pt idx="49">
                  <c:v>3</c:v>
                </c:pt>
                <c:pt idx="50">
                  <c:v>3.1</c:v>
                </c:pt>
                <c:pt idx="51">
                  <c:v>3.7</c:v>
                </c:pt>
                <c:pt idx="52">
                  <c:v>3.9</c:v>
                </c:pt>
                <c:pt idx="53">
                  <c:v>4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4.5999999999999996</c:v>
                </c:pt>
                <c:pt idx="57">
                  <c:v>5.0999999999999996</c:v>
                </c:pt>
                <c:pt idx="58">
                  <c:v>5.3</c:v>
                </c:pt>
                <c:pt idx="59">
                  <c:v>6.6</c:v>
                </c:pt>
                <c:pt idx="60">
                  <c:v>6.9</c:v>
                </c:pt>
                <c:pt idx="61">
                  <c:v>8.5</c:v>
                </c:pt>
                <c:pt idx="62">
                  <c:v>14.1</c:v>
                </c:pt>
                <c:pt idx="63">
                  <c:v>18.399999999999999</c:v>
                </c:pt>
                <c:pt idx="64">
                  <c:v>20.100000000000001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E-4A7B-A45D-3756EFECC663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'F size classes'!$A$2:$A$66</c:f>
              <c:numCache>
                <c:formatCode>General</c:formatCode>
                <c:ptCount val="65"/>
                <c:pt idx="0">
                  <c:v>57.5</c:v>
                </c:pt>
                <c:pt idx="1">
                  <c:v>50.4</c:v>
                </c:pt>
                <c:pt idx="2">
                  <c:v>54.9</c:v>
                </c:pt>
                <c:pt idx="3">
                  <c:v>56</c:v>
                </c:pt>
                <c:pt idx="4">
                  <c:v>54</c:v>
                </c:pt>
                <c:pt idx="5">
                  <c:v>52.6</c:v>
                </c:pt>
                <c:pt idx="6">
                  <c:v>53.8</c:v>
                </c:pt>
                <c:pt idx="7">
                  <c:v>56</c:v>
                </c:pt>
                <c:pt idx="8">
                  <c:v>59.4</c:v>
                </c:pt>
                <c:pt idx="9">
                  <c:v>58.2</c:v>
                </c:pt>
                <c:pt idx="10">
                  <c:v>53.4</c:v>
                </c:pt>
                <c:pt idx="11">
                  <c:v>56.7</c:v>
                </c:pt>
                <c:pt idx="12">
                  <c:v>54.9</c:v>
                </c:pt>
                <c:pt idx="13">
                  <c:v>56.9</c:v>
                </c:pt>
                <c:pt idx="14">
                  <c:v>55.3</c:v>
                </c:pt>
                <c:pt idx="15">
                  <c:v>65.099999999999994</c:v>
                </c:pt>
                <c:pt idx="16">
                  <c:v>53.2</c:v>
                </c:pt>
                <c:pt idx="17">
                  <c:v>65</c:v>
                </c:pt>
                <c:pt idx="18">
                  <c:v>59.3</c:v>
                </c:pt>
                <c:pt idx="19">
                  <c:v>60.6</c:v>
                </c:pt>
                <c:pt idx="20">
                  <c:v>53.9</c:v>
                </c:pt>
                <c:pt idx="21">
                  <c:v>58.7</c:v>
                </c:pt>
                <c:pt idx="22">
                  <c:v>50</c:v>
                </c:pt>
                <c:pt idx="23">
                  <c:v>55.5</c:v>
                </c:pt>
                <c:pt idx="24">
                  <c:v>53.7</c:v>
                </c:pt>
                <c:pt idx="25">
                  <c:v>54.2</c:v>
                </c:pt>
                <c:pt idx="26">
                  <c:v>56.6</c:v>
                </c:pt>
                <c:pt idx="27">
                  <c:v>46</c:v>
                </c:pt>
                <c:pt idx="28">
                  <c:v>57.7</c:v>
                </c:pt>
                <c:pt idx="29">
                  <c:v>59.4</c:v>
                </c:pt>
                <c:pt idx="30">
                  <c:v>47.2</c:v>
                </c:pt>
                <c:pt idx="31">
                  <c:v>55.5</c:v>
                </c:pt>
                <c:pt idx="32">
                  <c:v>54.9</c:v>
                </c:pt>
                <c:pt idx="33">
                  <c:v>56.2</c:v>
                </c:pt>
                <c:pt idx="34">
                  <c:v>58.4</c:v>
                </c:pt>
                <c:pt idx="35">
                  <c:v>56.7</c:v>
                </c:pt>
                <c:pt idx="36">
                  <c:v>54.6</c:v>
                </c:pt>
                <c:pt idx="37">
                  <c:v>60.7</c:v>
                </c:pt>
                <c:pt idx="38">
                  <c:v>60.9</c:v>
                </c:pt>
                <c:pt idx="39">
                  <c:v>52.6</c:v>
                </c:pt>
                <c:pt idx="40">
                  <c:v>58.8</c:v>
                </c:pt>
                <c:pt idx="41">
                  <c:v>57.4</c:v>
                </c:pt>
                <c:pt idx="42">
                  <c:v>49.4</c:v>
                </c:pt>
                <c:pt idx="43">
                  <c:v>54.4</c:v>
                </c:pt>
                <c:pt idx="44">
                  <c:v>58.3</c:v>
                </c:pt>
                <c:pt idx="45">
                  <c:v>54.2</c:v>
                </c:pt>
                <c:pt idx="46">
                  <c:v>47.7</c:v>
                </c:pt>
                <c:pt idx="47">
                  <c:v>51.8</c:v>
                </c:pt>
                <c:pt idx="48">
                  <c:v>57.6</c:v>
                </c:pt>
                <c:pt idx="49">
                  <c:v>52.7</c:v>
                </c:pt>
                <c:pt idx="50">
                  <c:v>49.6</c:v>
                </c:pt>
                <c:pt idx="51">
                  <c:v>45.8</c:v>
                </c:pt>
                <c:pt idx="52">
                  <c:v>48.7</c:v>
                </c:pt>
                <c:pt idx="53">
                  <c:v>59.2</c:v>
                </c:pt>
                <c:pt idx="54">
                  <c:v>43.6</c:v>
                </c:pt>
                <c:pt idx="55">
                  <c:v>50.8</c:v>
                </c:pt>
                <c:pt idx="56">
                  <c:v>47.6</c:v>
                </c:pt>
                <c:pt idx="57">
                  <c:v>43.4</c:v>
                </c:pt>
                <c:pt idx="58">
                  <c:v>40.6</c:v>
                </c:pt>
                <c:pt idx="59">
                  <c:v>44.8</c:v>
                </c:pt>
                <c:pt idx="60">
                  <c:v>31.1</c:v>
                </c:pt>
                <c:pt idx="61">
                  <c:v>45.6</c:v>
                </c:pt>
                <c:pt idx="62">
                  <c:v>51.2</c:v>
                </c:pt>
                <c:pt idx="63">
                  <c:v>28.7</c:v>
                </c:pt>
                <c:pt idx="64">
                  <c:v>29.8</c:v>
                </c:pt>
              </c:numCache>
            </c:numRef>
          </c:xVal>
          <c:yVal>
            <c:numRef>
              <c:f>'F size classes'!$E$27:$E$91</c:f>
              <c:numCache>
                <c:formatCode>General</c:formatCode>
                <c:ptCount val="65"/>
                <c:pt idx="0">
                  <c:v>1.0658931477740552</c:v>
                </c:pt>
                <c:pt idx="1">
                  <c:v>3.755293725775644</c:v>
                </c:pt>
                <c:pt idx="2">
                  <c:v>2.0507440636619592</c:v>
                </c:pt>
                <c:pt idx="3">
                  <c:v>1.6340763684786168</c:v>
                </c:pt>
                <c:pt idx="4">
                  <c:v>2.3916539960846954</c:v>
                </c:pt>
                <c:pt idx="5">
                  <c:v>2.9219583354089522</c:v>
                </c:pt>
                <c:pt idx="6">
                  <c:v>2.4674117588453051</c:v>
                </c:pt>
                <c:pt idx="7">
                  <c:v>1.6340763684786168</c:v>
                </c:pt>
                <c:pt idx="8">
                  <c:v>0.34619440154827785</c:v>
                </c:pt>
                <c:pt idx="9">
                  <c:v>0.80074097811192502</c:v>
                </c:pt>
                <c:pt idx="10">
                  <c:v>2.6189272843665208</c:v>
                </c:pt>
                <c:pt idx="11">
                  <c:v>1.3689241988164866</c:v>
                </c:pt>
                <c:pt idx="12">
                  <c:v>2.0507440636619592</c:v>
                </c:pt>
                <c:pt idx="13">
                  <c:v>1.2931664360558806</c:v>
                </c:pt>
                <c:pt idx="14">
                  <c:v>1.8992285381407434</c:v>
                </c:pt>
                <c:pt idx="15">
                  <c:v>-1.8129018371290542</c:v>
                </c:pt>
                <c:pt idx="16">
                  <c:v>2.6946850471271269</c:v>
                </c:pt>
                <c:pt idx="17">
                  <c:v>-1.7750229557487529</c:v>
                </c:pt>
                <c:pt idx="18">
                  <c:v>0.38407328292858267</c:v>
                </c:pt>
                <c:pt idx="19">
                  <c:v>-0.10835217501537286</c:v>
                </c:pt>
                <c:pt idx="20">
                  <c:v>2.4295328774650002</c:v>
                </c:pt>
                <c:pt idx="21">
                  <c:v>0.61134657121040448</c:v>
                </c:pt>
                <c:pt idx="22">
                  <c:v>3.9068092512968597</c:v>
                </c:pt>
                <c:pt idx="23">
                  <c:v>1.8234707753801338</c:v>
                </c:pt>
                <c:pt idx="24">
                  <c:v>2.5052906402256063</c:v>
                </c:pt>
                <c:pt idx="25">
                  <c:v>2.3158962333240858</c:v>
                </c:pt>
                <c:pt idx="26">
                  <c:v>1.4068030801967915</c:v>
                </c:pt>
                <c:pt idx="27">
                  <c:v>5.4219645065090241</c:v>
                </c:pt>
                <c:pt idx="28">
                  <c:v>0.99013538501344556</c:v>
                </c:pt>
                <c:pt idx="29">
                  <c:v>0.34619440154827785</c:v>
                </c:pt>
                <c:pt idx="30">
                  <c:v>4.9674179299453733</c:v>
                </c:pt>
                <c:pt idx="31">
                  <c:v>1.8234707753801338</c:v>
                </c:pt>
                <c:pt idx="32">
                  <c:v>2.0507440636619592</c:v>
                </c:pt>
                <c:pt idx="33">
                  <c:v>1.5583186057180072</c:v>
                </c:pt>
                <c:pt idx="34">
                  <c:v>0.72498321535131893</c:v>
                </c:pt>
                <c:pt idx="35">
                  <c:v>1.3689241988164866</c:v>
                </c:pt>
                <c:pt idx="36">
                  <c:v>2.1643807078028701</c:v>
                </c:pt>
                <c:pt idx="37">
                  <c:v>-0.14623105639567768</c:v>
                </c:pt>
                <c:pt idx="38">
                  <c:v>-0.22198881915628377</c:v>
                </c:pt>
                <c:pt idx="39">
                  <c:v>2.9219583354089522</c:v>
                </c:pt>
                <c:pt idx="40">
                  <c:v>0.57346768983010321</c:v>
                </c:pt>
                <c:pt idx="41">
                  <c:v>1.10377202915436</c:v>
                </c:pt>
                <c:pt idx="42">
                  <c:v>4.1340825395786851</c:v>
                </c:pt>
                <c:pt idx="43">
                  <c:v>2.2401384705634797</c:v>
                </c:pt>
                <c:pt idx="44">
                  <c:v>0.76286209673162375</c:v>
                </c:pt>
                <c:pt idx="45">
                  <c:v>2.3158962333240858</c:v>
                </c:pt>
                <c:pt idx="46">
                  <c:v>4.7780235230438528</c:v>
                </c:pt>
                <c:pt idx="47">
                  <c:v>3.2249893864513872</c:v>
                </c:pt>
                <c:pt idx="48">
                  <c:v>1.0280142663937504</c:v>
                </c:pt>
                <c:pt idx="49">
                  <c:v>2.8840794540286474</c:v>
                </c:pt>
                <c:pt idx="50">
                  <c:v>4.0583247768180755</c:v>
                </c:pt>
                <c:pt idx="51">
                  <c:v>5.4977222692696337</c:v>
                </c:pt>
                <c:pt idx="52">
                  <c:v>4.3992347092408117</c:v>
                </c:pt>
                <c:pt idx="53">
                  <c:v>0.42195216430888394</c:v>
                </c:pt>
                <c:pt idx="54">
                  <c:v>6.3310576596363219</c:v>
                </c:pt>
                <c:pt idx="55">
                  <c:v>3.6037782002544283</c:v>
                </c:pt>
                <c:pt idx="56">
                  <c:v>4.8159024044241576</c:v>
                </c:pt>
                <c:pt idx="57">
                  <c:v>6.4068154223969316</c:v>
                </c:pt>
                <c:pt idx="58">
                  <c:v>7.4674241010454434</c:v>
                </c:pt>
                <c:pt idx="59">
                  <c:v>5.8765110830726748</c:v>
                </c:pt>
                <c:pt idx="60">
                  <c:v>11.065917832174332</c:v>
                </c:pt>
                <c:pt idx="61">
                  <c:v>5.5734800320302398</c:v>
                </c:pt>
                <c:pt idx="62">
                  <c:v>3.452262674733209</c:v>
                </c:pt>
                <c:pt idx="63">
                  <c:v>11.975010985301632</c:v>
                </c:pt>
                <c:pt idx="64">
                  <c:v>11.558343290118286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E-4A7B-A45D-3756EFECC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6208"/>
        <c:axId val="164916768"/>
      </c:scatterChart>
      <c:valAx>
        <c:axId val="16491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6768"/>
        <c:crosses val="autoZero"/>
        <c:crossBetween val="midCat"/>
      </c:valAx>
      <c:valAx>
        <c:axId val="164916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916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 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Histograms!$A$5:$A$15</c:f>
              <c:numCache>
                <c:formatCode>General</c:formatCode>
                <c:ptCount val="11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</c:numCache>
            </c:numRef>
          </c:cat>
          <c:val>
            <c:numRef>
              <c:f>Histograms!$B$5:$B$15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12</c:v>
                </c:pt>
                <c:pt idx="6">
                  <c:v>21</c:v>
                </c:pt>
                <c:pt idx="7">
                  <c:v>24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C-4189-8EA8-EBF5327B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19008"/>
        <c:axId val="164919568"/>
      </c:barChart>
      <c:catAx>
        <c:axId val="16491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9568"/>
        <c:crosses val="autoZero"/>
        <c:auto val="1"/>
        <c:lblAlgn val="ctr"/>
        <c:lblOffset val="100"/>
        <c:noMultiLvlLbl val="0"/>
      </c:catAx>
      <c:valAx>
        <c:axId val="1649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 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Histograms!$A$31:$A$39</c:f>
              <c:numCache>
                <c:formatCode>General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</c:numCache>
            </c:numRef>
          </c:cat>
          <c:val>
            <c:numRef>
              <c:f>Histograms!$B$31:$B$39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13</c:v>
                </c:pt>
                <c:pt idx="6">
                  <c:v>31</c:v>
                </c:pt>
                <c:pt idx="7">
                  <c:v>17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7-400C-804B-66E61AC3F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1808"/>
        <c:axId val="164922368"/>
      </c:barChart>
      <c:catAx>
        <c:axId val="1649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2368"/>
        <c:crosses val="autoZero"/>
        <c:auto val="1"/>
        <c:lblAlgn val="ctr"/>
        <c:lblOffset val="100"/>
        <c:noMultiLvlLbl val="0"/>
      </c:catAx>
      <c:valAx>
        <c:axId val="1649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 SL --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Histograms!$N$4:$N$10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</c:numCache>
            </c:numRef>
          </c:cat>
          <c:val>
            <c:numRef>
              <c:f>Histograms!$O$4:$O$10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15</c:v>
                </c:pt>
                <c:pt idx="3">
                  <c:v>21</c:v>
                </c:pt>
                <c:pt idx="4">
                  <c:v>40</c:v>
                </c:pt>
                <c:pt idx="5">
                  <c:v>18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1-474C-AFCB-DDB9E167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4608"/>
        <c:axId val="165402784"/>
      </c:barChart>
      <c:catAx>
        <c:axId val="1649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2784"/>
        <c:crosses val="autoZero"/>
        <c:auto val="1"/>
        <c:lblAlgn val="ctr"/>
        <c:lblOffset val="100"/>
        <c:noMultiLvlLbl val="0"/>
      </c:catAx>
      <c:valAx>
        <c:axId val="1654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'All J_SL'!$K$3:$K$9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</c:numCache>
            </c:numRef>
          </c:cat>
          <c:val>
            <c:numRef>
              <c:f>'All J_SL'!$L$3:$L$9</c:f>
              <c:numCache>
                <c:formatCode>General</c:formatCode>
                <c:ptCount val="7"/>
                <c:pt idx="0">
                  <c:v>0</c:v>
                </c:pt>
                <c:pt idx="1">
                  <c:v>8</c:v>
                </c:pt>
                <c:pt idx="2">
                  <c:v>15</c:v>
                </c:pt>
                <c:pt idx="3">
                  <c:v>21</c:v>
                </c:pt>
                <c:pt idx="4">
                  <c:v>40</c:v>
                </c:pt>
                <c:pt idx="5">
                  <c:v>18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1-42B7-B0F8-2CEE07669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05024"/>
        <c:axId val="165405584"/>
      </c:barChart>
      <c:catAx>
        <c:axId val="16540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584"/>
        <c:crosses val="autoZero"/>
        <c:auto val="1"/>
        <c:lblAlgn val="ctr"/>
        <c:lblOffset val="100"/>
        <c:noMultiLvlLbl val="0"/>
      </c:catAx>
      <c:valAx>
        <c:axId val="1654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</xdr:row>
      <xdr:rowOff>9525</xdr:rowOff>
    </xdr:from>
    <xdr:to>
      <xdr:col>17</xdr:col>
      <xdr:colOff>533400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13</xdr:row>
      <xdr:rowOff>28575</xdr:rowOff>
    </xdr:from>
    <xdr:to>
      <xdr:col>17</xdr:col>
      <xdr:colOff>523875</xdr:colOff>
      <xdr:row>23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228600</xdr:colOff>
      <xdr:row>3</xdr:row>
      <xdr:rowOff>71437</xdr:rowOff>
    </xdr:from>
    <xdr:to>
      <xdr:col>25</xdr:col>
      <xdr:colOff>0</xdr:colOff>
      <xdr:row>20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8</xdr:row>
      <xdr:rowOff>152400</xdr:rowOff>
    </xdr:from>
    <xdr:to>
      <xdr:col>22</xdr:col>
      <xdr:colOff>266700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533400</xdr:colOff>
      <xdr:row>20</xdr:row>
      <xdr:rowOff>66675</xdr:rowOff>
    </xdr:from>
    <xdr:to>
      <xdr:col>22</xdr:col>
      <xdr:colOff>533400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2</xdr:row>
      <xdr:rowOff>152400</xdr:rowOff>
    </xdr:from>
    <xdr:to>
      <xdr:col>18</xdr:col>
      <xdr:colOff>266700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266700</xdr:colOff>
      <xdr:row>4</xdr:row>
      <xdr:rowOff>152400</xdr:rowOff>
    </xdr:from>
    <xdr:to>
      <xdr:col>19</xdr:col>
      <xdr:colOff>266700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218268</xdr:colOff>
      <xdr:row>0</xdr:row>
      <xdr:rowOff>116156</xdr:rowOff>
    </xdr:from>
    <xdr:to>
      <xdr:col>11</xdr:col>
      <xdr:colOff>667718</xdr:colOff>
      <xdr:row>17</xdr:row>
      <xdr:rowOff>97106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239739</xdr:colOff>
      <xdr:row>25</xdr:row>
      <xdr:rowOff>74344</xdr:rowOff>
    </xdr:from>
    <xdr:to>
      <xdr:col>12</xdr:col>
      <xdr:colOff>18888</xdr:colOff>
      <xdr:row>42</xdr:row>
      <xdr:rowOff>94201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285751</xdr:colOff>
      <xdr:row>0</xdr:row>
      <xdr:rowOff>155064</xdr:rowOff>
    </xdr:from>
    <xdr:to>
      <xdr:col>25</xdr:col>
      <xdr:colOff>57150</xdr:colOff>
      <xdr:row>17</xdr:row>
      <xdr:rowOff>87582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303696</xdr:colOff>
      <xdr:row>23</xdr:row>
      <xdr:rowOff>124239</xdr:rowOff>
    </xdr:from>
    <xdr:to>
      <xdr:col>24</xdr:col>
      <xdr:colOff>621196</xdr:colOff>
      <xdr:row>41</xdr:row>
      <xdr:rowOff>41414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topLeftCell="E52" workbookViewId="0">
      <selection activeCell="J2" sqref="J2:J72"/>
    </sheetView>
  </sheetViews>
  <sheetFormatPr defaultColWidth="11" defaultRowHeight="13.5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57.5</v>
      </c>
      <c r="C2">
        <v>5.8</v>
      </c>
      <c r="D2">
        <v>-1.5</v>
      </c>
      <c r="E2">
        <v>0.7</v>
      </c>
      <c r="F2">
        <v>39.799999999999997</v>
      </c>
      <c r="G2">
        <v>2.2000000000000002</v>
      </c>
      <c r="H2">
        <v>0.8</v>
      </c>
      <c r="I2">
        <v>0</v>
      </c>
      <c r="J2">
        <v>35</v>
      </c>
      <c r="K2" t="s">
        <v>25</v>
      </c>
      <c r="L2">
        <v>1.6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 spans="1:25" x14ac:dyDescent="0.3">
      <c r="A3">
        <v>2</v>
      </c>
      <c r="B3">
        <v>58.3</v>
      </c>
      <c r="C3">
        <v>6.8</v>
      </c>
      <c r="D3">
        <v>2.8</v>
      </c>
      <c r="E3">
        <v>0.3</v>
      </c>
      <c r="F3">
        <v>43.2</v>
      </c>
      <c r="G3">
        <v>2.5</v>
      </c>
      <c r="H3">
        <v>0.5</v>
      </c>
      <c r="I3">
        <v>0.2</v>
      </c>
      <c r="J3">
        <v>34.200000000000003</v>
      </c>
      <c r="K3" t="s">
        <v>25</v>
      </c>
      <c r="L3">
        <v>1.4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 spans="1:25" x14ac:dyDescent="0.3">
      <c r="A4">
        <v>3</v>
      </c>
      <c r="B4">
        <v>49.6</v>
      </c>
      <c r="C4">
        <v>4.5</v>
      </c>
      <c r="D4">
        <v>3.1</v>
      </c>
      <c r="E4">
        <v>1.1000000000000001</v>
      </c>
      <c r="F4">
        <v>42.3</v>
      </c>
      <c r="G4">
        <v>2.2000000000000002</v>
      </c>
      <c r="H4" t="s">
        <v>25</v>
      </c>
      <c r="I4" t="s">
        <v>25</v>
      </c>
      <c r="J4">
        <v>28.4</v>
      </c>
      <c r="K4">
        <v>7.1</v>
      </c>
      <c r="L4">
        <v>0.8</v>
      </c>
      <c r="M4">
        <v>0.8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 spans="1:25" x14ac:dyDescent="0.3">
      <c r="A5">
        <v>4</v>
      </c>
      <c r="B5">
        <v>50</v>
      </c>
      <c r="C5">
        <v>4.3</v>
      </c>
      <c r="D5">
        <v>1.3</v>
      </c>
      <c r="E5">
        <v>0.2</v>
      </c>
      <c r="F5">
        <v>46.1</v>
      </c>
      <c r="G5">
        <v>2.9</v>
      </c>
      <c r="H5" t="s">
        <v>25</v>
      </c>
      <c r="I5" t="s">
        <v>25</v>
      </c>
      <c r="J5">
        <v>34.6</v>
      </c>
      <c r="K5" t="s">
        <v>25</v>
      </c>
      <c r="L5">
        <v>1.1000000000000001</v>
      </c>
      <c r="M5" t="s">
        <v>25</v>
      </c>
      <c r="N5">
        <v>21.6</v>
      </c>
      <c r="O5">
        <v>17.100000000000001</v>
      </c>
      <c r="P5">
        <v>0.3</v>
      </c>
      <c r="Q5">
        <v>1.7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 spans="1:25" x14ac:dyDescent="0.3">
      <c r="A6">
        <v>5</v>
      </c>
      <c r="B6">
        <v>53.8</v>
      </c>
      <c r="C6">
        <v>6</v>
      </c>
      <c r="D6">
        <v>0.5</v>
      </c>
      <c r="E6">
        <v>0.3</v>
      </c>
      <c r="F6">
        <v>43</v>
      </c>
      <c r="G6">
        <v>2.4</v>
      </c>
      <c r="H6">
        <v>0.6</v>
      </c>
      <c r="I6">
        <v>-0.1</v>
      </c>
      <c r="J6">
        <v>33.299999999999997</v>
      </c>
      <c r="K6">
        <v>0.6</v>
      </c>
      <c r="L6">
        <v>1.1000000000000001</v>
      </c>
      <c r="M6">
        <v>0.2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 spans="1:25" x14ac:dyDescent="0.3">
      <c r="A7">
        <v>6</v>
      </c>
      <c r="B7">
        <v>49.7</v>
      </c>
      <c r="C7">
        <v>4.2</v>
      </c>
      <c r="D7" t="s">
        <v>25</v>
      </c>
      <c r="E7" t="s">
        <v>25</v>
      </c>
      <c r="F7">
        <v>41.5</v>
      </c>
      <c r="G7">
        <v>2.1</v>
      </c>
      <c r="H7">
        <v>7.4</v>
      </c>
      <c r="I7">
        <v>1.6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 spans="1:25" x14ac:dyDescent="0.3">
      <c r="A8">
        <v>7</v>
      </c>
      <c r="B8">
        <v>43.4</v>
      </c>
      <c r="C8">
        <v>2.7</v>
      </c>
      <c r="D8">
        <v>5.0999999999999996</v>
      </c>
      <c r="E8">
        <v>1.4</v>
      </c>
      <c r="F8">
        <v>37.700000000000003</v>
      </c>
      <c r="G8">
        <v>1.6</v>
      </c>
      <c r="H8">
        <v>3.3</v>
      </c>
      <c r="I8">
        <v>0.5</v>
      </c>
      <c r="J8">
        <v>25.2</v>
      </c>
      <c r="K8">
        <v>5.6</v>
      </c>
      <c r="L8">
        <v>0.6</v>
      </c>
      <c r="M8">
        <v>0.3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 spans="1:25" x14ac:dyDescent="0.3">
      <c r="A9">
        <v>8</v>
      </c>
      <c r="B9">
        <v>58.7</v>
      </c>
      <c r="C9">
        <v>7</v>
      </c>
      <c r="D9">
        <v>1.3</v>
      </c>
      <c r="E9">
        <v>0.2</v>
      </c>
      <c r="F9">
        <v>44.7</v>
      </c>
      <c r="G9">
        <v>2.9</v>
      </c>
      <c r="H9">
        <v>0.9</v>
      </c>
      <c r="I9">
        <v>0.2</v>
      </c>
      <c r="J9">
        <v>34.5</v>
      </c>
      <c r="K9">
        <v>0.1</v>
      </c>
      <c r="L9">
        <v>1.4</v>
      </c>
      <c r="M9">
        <v>0.1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 spans="1:25" x14ac:dyDescent="0.3">
      <c r="A10">
        <v>9</v>
      </c>
      <c r="B10">
        <v>50.8</v>
      </c>
      <c r="C10">
        <v>4.3</v>
      </c>
      <c r="D10">
        <v>4.5</v>
      </c>
      <c r="E10">
        <v>1.8</v>
      </c>
      <c r="F10">
        <v>39.299999999999997</v>
      </c>
      <c r="G10">
        <v>2.2000000000000002</v>
      </c>
      <c r="H10">
        <v>5.9</v>
      </c>
      <c r="I10">
        <v>0.8</v>
      </c>
      <c r="J10">
        <v>20.399999999999999</v>
      </c>
      <c r="K10">
        <v>11.3</v>
      </c>
      <c r="L10">
        <v>0.3</v>
      </c>
      <c r="M10">
        <v>0.7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 spans="1:25" x14ac:dyDescent="0.3">
      <c r="A11">
        <v>10</v>
      </c>
      <c r="B11">
        <v>54.9</v>
      </c>
      <c r="C11">
        <v>5.5</v>
      </c>
      <c r="D11">
        <v>0.8</v>
      </c>
      <c r="E11">
        <v>0.4</v>
      </c>
      <c r="F11">
        <v>41.4</v>
      </c>
      <c r="G11">
        <v>2.2999999999999998</v>
      </c>
      <c r="H11">
        <v>1.1000000000000001</v>
      </c>
      <c r="I11">
        <v>0.2</v>
      </c>
      <c r="J11">
        <v>32.299999999999997</v>
      </c>
      <c r="K11" t="s">
        <v>25</v>
      </c>
      <c r="L11">
        <v>1.2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 spans="1:25" x14ac:dyDescent="0.3">
      <c r="A12">
        <v>11</v>
      </c>
      <c r="B12">
        <v>58.1</v>
      </c>
      <c r="C12">
        <v>7</v>
      </c>
      <c r="D12" t="s">
        <v>25</v>
      </c>
      <c r="E12" t="s">
        <v>25</v>
      </c>
      <c r="F12">
        <v>40.6</v>
      </c>
      <c r="G12">
        <v>2.2000000000000002</v>
      </c>
      <c r="H12">
        <v>7.5</v>
      </c>
      <c r="I12">
        <v>2.1</v>
      </c>
      <c r="J12">
        <v>32.5</v>
      </c>
      <c r="K12">
        <v>8.5</v>
      </c>
      <c r="L12">
        <v>1.2</v>
      </c>
      <c r="M12">
        <v>1.3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5" x14ac:dyDescent="0.3">
      <c r="A13">
        <v>12</v>
      </c>
      <c r="B13">
        <v>45.8</v>
      </c>
      <c r="C13">
        <v>3.1</v>
      </c>
      <c r="D13">
        <v>3.7</v>
      </c>
      <c r="E13">
        <v>1.3</v>
      </c>
      <c r="F13">
        <v>37.9</v>
      </c>
      <c r="G13">
        <v>1.7</v>
      </c>
      <c r="H13">
        <v>2.8</v>
      </c>
      <c r="I13">
        <v>0.5</v>
      </c>
      <c r="J13">
        <v>27.3</v>
      </c>
      <c r="K13" t="s">
        <v>25</v>
      </c>
      <c r="L13">
        <v>0.7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5" x14ac:dyDescent="0.3">
      <c r="A14">
        <v>13</v>
      </c>
      <c r="B14">
        <v>60.6</v>
      </c>
      <c r="C14">
        <v>8.1999999999999993</v>
      </c>
      <c r="D14">
        <v>1.2</v>
      </c>
      <c r="E14">
        <v>0.9</v>
      </c>
      <c r="F14">
        <v>47.6</v>
      </c>
      <c r="G14">
        <v>3.1</v>
      </c>
      <c r="H14">
        <v>-1.5</v>
      </c>
      <c r="I14">
        <v>0.2</v>
      </c>
      <c r="J14">
        <v>37.200000000000003</v>
      </c>
      <c r="K14">
        <v>0.7</v>
      </c>
      <c r="L14">
        <v>1.6</v>
      </c>
      <c r="M14">
        <v>0.1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 spans="1:25" x14ac:dyDescent="0.3">
      <c r="A15">
        <v>14</v>
      </c>
      <c r="B15">
        <v>59.3</v>
      </c>
      <c r="C15">
        <v>7.5</v>
      </c>
      <c r="D15">
        <v>1.2</v>
      </c>
      <c r="E15">
        <v>0.8</v>
      </c>
      <c r="F15">
        <v>42</v>
      </c>
      <c r="G15">
        <v>2.2000000000000002</v>
      </c>
      <c r="H15">
        <v>1.1000000000000001</v>
      </c>
      <c r="I15">
        <v>0.2</v>
      </c>
      <c r="J15">
        <v>34.799999999999997</v>
      </c>
      <c r="K15">
        <v>-0.4</v>
      </c>
      <c r="L15">
        <v>1.1000000000000001</v>
      </c>
      <c r="M15">
        <v>0.2</v>
      </c>
      <c r="N15">
        <v>19</v>
      </c>
      <c r="O15">
        <v>2</v>
      </c>
      <c r="P15">
        <v>0.3</v>
      </c>
      <c r="Q15">
        <v>0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 spans="1:25" x14ac:dyDescent="0.3">
      <c r="A16">
        <v>15</v>
      </c>
      <c r="B16">
        <v>51.2</v>
      </c>
      <c r="C16">
        <v>5</v>
      </c>
      <c r="D16">
        <v>14.1</v>
      </c>
      <c r="E16">
        <v>5.2</v>
      </c>
      <c r="F16">
        <v>37.4</v>
      </c>
      <c r="G16">
        <v>1.7</v>
      </c>
      <c r="H16" t="s">
        <v>25</v>
      </c>
      <c r="I16" t="s">
        <v>25</v>
      </c>
      <c r="J16">
        <v>30.4</v>
      </c>
      <c r="K16">
        <v>10.5</v>
      </c>
      <c r="L16">
        <v>0.9</v>
      </c>
      <c r="M16">
        <v>1.5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 spans="1:25" x14ac:dyDescent="0.3">
      <c r="A17">
        <v>16</v>
      </c>
      <c r="B17">
        <v>47.7</v>
      </c>
      <c r="C17">
        <v>3.7</v>
      </c>
      <c r="D17">
        <v>2.9</v>
      </c>
      <c r="E17">
        <v>1.1000000000000001</v>
      </c>
      <c r="F17">
        <v>37.799999999999997</v>
      </c>
      <c r="G17">
        <v>1.6</v>
      </c>
      <c r="H17">
        <v>2.7</v>
      </c>
      <c r="I17">
        <v>0.5</v>
      </c>
      <c r="J17">
        <v>28.3</v>
      </c>
      <c r="K17" t="s">
        <v>25</v>
      </c>
      <c r="L17">
        <v>0.7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 spans="1:25" x14ac:dyDescent="0.3">
      <c r="A18">
        <v>17</v>
      </c>
      <c r="B18">
        <v>54.9</v>
      </c>
      <c r="C18">
        <v>5.7</v>
      </c>
      <c r="D18">
        <v>-0.1</v>
      </c>
      <c r="E18">
        <v>0</v>
      </c>
      <c r="F18">
        <v>41.7</v>
      </c>
      <c r="G18">
        <v>2.4</v>
      </c>
      <c r="H18">
        <v>3</v>
      </c>
      <c r="I18">
        <v>0.5</v>
      </c>
      <c r="J18">
        <v>34.9</v>
      </c>
      <c r="K18">
        <v>1.9</v>
      </c>
      <c r="L18">
        <v>1.3</v>
      </c>
      <c r="M18">
        <v>0.2</v>
      </c>
      <c r="N18">
        <v>30</v>
      </c>
      <c r="O18" t="s">
        <v>25</v>
      </c>
      <c r="P18">
        <v>0.8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 spans="1:25" x14ac:dyDescent="0.3">
      <c r="A19">
        <v>18</v>
      </c>
      <c r="B19">
        <v>55.5</v>
      </c>
      <c r="C19">
        <v>5.8</v>
      </c>
      <c r="D19">
        <v>1.4</v>
      </c>
      <c r="E19">
        <v>0.4</v>
      </c>
      <c r="F19">
        <v>42.9</v>
      </c>
      <c r="G19">
        <v>2.7</v>
      </c>
      <c r="H19">
        <v>1.7</v>
      </c>
      <c r="I19">
        <v>0.2</v>
      </c>
      <c r="J19">
        <v>33.799999999999997</v>
      </c>
      <c r="K19">
        <v>1.2</v>
      </c>
      <c r="L19">
        <v>1.3</v>
      </c>
      <c r="M19">
        <v>0.2</v>
      </c>
      <c r="N19">
        <v>25</v>
      </c>
      <c r="O19" t="s">
        <v>25</v>
      </c>
      <c r="P19">
        <v>0.5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 spans="1:25" x14ac:dyDescent="0.3">
      <c r="A20">
        <v>19</v>
      </c>
      <c r="B20">
        <v>52.6</v>
      </c>
      <c r="C20">
        <v>5.5</v>
      </c>
      <c r="D20">
        <v>0.4</v>
      </c>
      <c r="E20">
        <v>0.3</v>
      </c>
      <c r="F20">
        <v>45</v>
      </c>
      <c r="G20">
        <v>3.2</v>
      </c>
      <c r="H20">
        <v>1.6</v>
      </c>
      <c r="I20">
        <v>-0.1</v>
      </c>
      <c r="J20">
        <v>34.700000000000003</v>
      </c>
      <c r="K20">
        <v>0.5</v>
      </c>
      <c r="L20">
        <v>1.5</v>
      </c>
      <c r="M20">
        <v>0.1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 spans="1:25" x14ac:dyDescent="0.3">
      <c r="A21">
        <v>20</v>
      </c>
      <c r="B21">
        <v>59.4</v>
      </c>
      <c r="C21">
        <v>7.8</v>
      </c>
      <c r="D21">
        <v>1.5</v>
      </c>
      <c r="E21">
        <v>1.3</v>
      </c>
      <c r="F21">
        <v>47.7</v>
      </c>
      <c r="G21">
        <v>3.6</v>
      </c>
      <c r="H21">
        <v>4.0999999999999996</v>
      </c>
      <c r="I21">
        <v>0.8</v>
      </c>
      <c r="J21">
        <v>37.4</v>
      </c>
      <c r="K21">
        <v>2.4</v>
      </c>
      <c r="L21">
        <v>2</v>
      </c>
      <c r="M21">
        <v>0.3</v>
      </c>
      <c r="N21">
        <v>30.6</v>
      </c>
      <c r="O21">
        <v>0.5</v>
      </c>
      <c r="P21">
        <v>1</v>
      </c>
      <c r="Q21">
        <v>0.1</v>
      </c>
      <c r="R21">
        <v>22.9</v>
      </c>
      <c r="S21">
        <v>7.9</v>
      </c>
      <c r="T21">
        <v>0.4</v>
      </c>
      <c r="U21">
        <v>0.6</v>
      </c>
      <c r="V21" t="s">
        <v>25</v>
      </c>
      <c r="W21" t="s">
        <v>25</v>
      </c>
      <c r="X21" t="s">
        <v>25</v>
      </c>
      <c r="Y21" t="s">
        <v>25</v>
      </c>
    </row>
    <row r="22" spans="1:25" x14ac:dyDescent="0.3">
      <c r="A22">
        <v>21</v>
      </c>
      <c r="B22">
        <v>53.2</v>
      </c>
      <c r="C22">
        <v>5.2</v>
      </c>
      <c r="D22">
        <v>1.1000000000000001</v>
      </c>
      <c r="E22">
        <v>1.2</v>
      </c>
      <c r="F22">
        <v>41.4</v>
      </c>
      <c r="G22">
        <v>2.2000000000000002</v>
      </c>
      <c r="H22">
        <v>0.1</v>
      </c>
      <c r="I22">
        <v>0.1</v>
      </c>
      <c r="J22">
        <v>34.6</v>
      </c>
      <c r="K22">
        <v>1.6</v>
      </c>
      <c r="L22">
        <v>1.4</v>
      </c>
      <c r="M22">
        <v>0.2</v>
      </c>
      <c r="N22">
        <v>30.5</v>
      </c>
      <c r="O22">
        <v>0.3</v>
      </c>
      <c r="P22">
        <v>0.9</v>
      </c>
      <c r="Q22">
        <v>0.1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 spans="1:25" x14ac:dyDescent="0.3">
      <c r="A23">
        <v>22</v>
      </c>
      <c r="B23">
        <v>56.6</v>
      </c>
      <c r="C23">
        <v>6.9</v>
      </c>
      <c r="D23">
        <v>1.5</v>
      </c>
      <c r="E23">
        <v>0.8</v>
      </c>
      <c r="F23">
        <v>36.299999999999997</v>
      </c>
      <c r="G23">
        <v>1.5</v>
      </c>
      <c r="H23">
        <v>2.6</v>
      </c>
      <c r="I23">
        <v>0.4</v>
      </c>
      <c r="J23">
        <v>18.7</v>
      </c>
      <c r="K23">
        <v>9.1</v>
      </c>
      <c r="L23">
        <v>0.2</v>
      </c>
      <c r="M23">
        <v>0.5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 spans="1:25" x14ac:dyDescent="0.3">
      <c r="A24">
        <v>23</v>
      </c>
      <c r="B24">
        <v>43.6</v>
      </c>
      <c r="C24">
        <v>2.9</v>
      </c>
      <c r="D24">
        <v>4.4000000000000004</v>
      </c>
      <c r="E24">
        <v>1.2</v>
      </c>
      <c r="F24">
        <v>36.5</v>
      </c>
      <c r="G24">
        <v>1.5</v>
      </c>
      <c r="H24">
        <v>5.2</v>
      </c>
      <c r="I24">
        <v>0.9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 spans="1:25" x14ac:dyDescent="0.3">
      <c r="A25">
        <v>24</v>
      </c>
      <c r="B25">
        <v>46</v>
      </c>
      <c r="C25">
        <v>3.5</v>
      </c>
      <c r="D25">
        <v>1.5</v>
      </c>
      <c r="E25">
        <v>0.2</v>
      </c>
      <c r="F25">
        <v>31.2</v>
      </c>
      <c r="G25">
        <v>0.9</v>
      </c>
      <c r="H25">
        <v>2.8</v>
      </c>
      <c r="I25">
        <v>0.3</v>
      </c>
      <c r="J25">
        <v>28.3</v>
      </c>
      <c r="K25">
        <v>0.4</v>
      </c>
      <c r="L25">
        <v>0.7</v>
      </c>
      <c r="M25">
        <v>0.1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 spans="1:25" x14ac:dyDescent="0.3">
      <c r="A26">
        <v>25</v>
      </c>
      <c r="B26">
        <v>50.4</v>
      </c>
      <c r="C26">
        <v>4.3</v>
      </c>
      <c r="D26">
        <v>-0.2</v>
      </c>
      <c r="E26">
        <v>0.8</v>
      </c>
      <c r="F26">
        <v>39.299999999999997</v>
      </c>
      <c r="G26">
        <v>2.1</v>
      </c>
      <c r="H26" t="s">
        <v>25</v>
      </c>
      <c r="I26" t="s">
        <v>25</v>
      </c>
      <c r="J26">
        <v>28.3</v>
      </c>
      <c r="K26">
        <v>7.9</v>
      </c>
      <c r="L26">
        <v>0.7</v>
      </c>
      <c r="M26">
        <v>0.8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 spans="1:25" x14ac:dyDescent="0.3">
      <c r="A27">
        <v>26</v>
      </c>
      <c r="B27">
        <v>40.6</v>
      </c>
      <c r="C27">
        <v>2</v>
      </c>
      <c r="D27">
        <v>5.3</v>
      </c>
      <c r="E27">
        <v>1</v>
      </c>
      <c r="F27">
        <v>33.5</v>
      </c>
      <c r="G27">
        <v>1.3</v>
      </c>
      <c r="H27">
        <v>3.7</v>
      </c>
      <c r="I27">
        <v>0.2</v>
      </c>
      <c r="J27">
        <v>21.2</v>
      </c>
      <c r="K27" t="s">
        <v>25</v>
      </c>
      <c r="L27">
        <v>0.3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 spans="1:25" x14ac:dyDescent="0.3">
      <c r="A28">
        <v>27</v>
      </c>
      <c r="B28">
        <v>31.1</v>
      </c>
      <c r="C28">
        <v>1.1000000000000001</v>
      </c>
      <c r="D28">
        <v>6.9</v>
      </c>
      <c r="E28">
        <v>0.9</v>
      </c>
      <c r="F28">
        <v>18</v>
      </c>
      <c r="G28">
        <v>0.2</v>
      </c>
      <c r="H28">
        <v>11.9</v>
      </c>
      <c r="I28">
        <v>0.7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 spans="1:25" x14ac:dyDescent="0.3">
      <c r="A29">
        <v>28</v>
      </c>
      <c r="B29">
        <v>70.400000000000006</v>
      </c>
      <c r="C29">
        <v>13.7</v>
      </c>
      <c r="D29" t="s">
        <v>25</v>
      </c>
      <c r="E29" t="s">
        <v>25</v>
      </c>
      <c r="F29">
        <v>42.9</v>
      </c>
      <c r="G29">
        <v>3</v>
      </c>
      <c r="H29">
        <v>6.6</v>
      </c>
      <c r="I29">
        <v>1.8</v>
      </c>
      <c r="J29">
        <v>31.2</v>
      </c>
      <c r="K29">
        <v>11.9</v>
      </c>
      <c r="L29">
        <v>1.1000000000000001</v>
      </c>
      <c r="M29">
        <v>1.6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 spans="1:25" x14ac:dyDescent="0.3">
      <c r="A30">
        <v>29</v>
      </c>
      <c r="B30">
        <v>53.7</v>
      </c>
      <c r="C30">
        <v>5</v>
      </c>
      <c r="D30">
        <v>1.4</v>
      </c>
      <c r="E30">
        <v>0.4</v>
      </c>
      <c r="F30">
        <v>42.5</v>
      </c>
      <c r="G30">
        <v>2.9</v>
      </c>
      <c r="H30">
        <v>0.6</v>
      </c>
      <c r="I30">
        <v>0</v>
      </c>
      <c r="J30">
        <v>37.5</v>
      </c>
      <c r="K30">
        <v>0.3</v>
      </c>
      <c r="L30">
        <v>1.7</v>
      </c>
      <c r="M30">
        <v>0.1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 spans="1:25" x14ac:dyDescent="0.3">
      <c r="A31">
        <v>30</v>
      </c>
      <c r="B31">
        <v>47.2</v>
      </c>
      <c r="C31">
        <v>4</v>
      </c>
      <c r="D31">
        <v>1.6</v>
      </c>
      <c r="E31">
        <v>0.4</v>
      </c>
      <c r="F31">
        <v>37.9</v>
      </c>
      <c r="G31">
        <v>1.8</v>
      </c>
      <c r="H31">
        <v>1.7</v>
      </c>
      <c r="I31">
        <v>0.2</v>
      </c>
      <c r="J31">
        <v>32.4</v>
      </c>
      <c r="K31">
        <v>-0.2</v>
      </c>
      <c r="L31">
        <v>1.1000000000000001</v>
      </c>
      <c r="M31">
        <v>0</v>
      </c>
      <c r="N31">
        <v>21.2</v>
      </c>
      <c r="O31">
        <v>1</v>
      </c>
      <c r="P31">
        <v>0.3</v>
      </c>
      <c r="Q31">
        <v>0.1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 spans="1:25" x14ac:dyDescent="0.3">
      <c r="A32">
        <v>31</v>
      </c>
      <c r="B32">
        <v>54.2</v>
      </c>
      <c r="C32">
        <v>5.6</v>
      </c>
      <c r="D32">
        <v>1.4</v>
      </c>
      <c r="E32">
        <v>0.4</v>
      </c>
      <c r="F32">
        <v>44.3</v>
      </c>
      <c r="G32">
        <v>3.5</v>
      </c>
      <c r="H32">
        <v>0.8</v>
      </c>
      <c r="I32">
        <v>-0.1</v>
      </c>
      <c r="J32">
        <v>41.5</v>
      </c>
      <c r="K32">
        <v>-0.4</v>
      </c>
      <c r="L32">
        <v>2.2999999999999998</v>
      </c>
      <c r="M32">
        <v>-0.1</v>
      </c>
      <c r="N32">
        <v>34.5</v>
      </c>
      <c r="O32" t="s">
        <v>25</v>
      </c>
      <c r="P32">
        <v>1.3</v>
      </c>
      <c r="Q32" t="s">
        <v>25</v>
      </c>
      <c r="R32">
        <v>22.1</v>
      </c>
      <c r="S32">
        <v>4.8</v>
      </c>
      <c r="T32">
        <v>0.4</v>
      </c>
      <c r="U32">
        <v>0.2</v>
      </c>
      <c r="V32" t="s">
        <v>25</v>
      </c>
      <c r="W32" t="s">
        <v>25</v>
      </c>
      <c r="X32" t="s">
        <v>25</v>
      </c>
      <c r="Y32" t="s">
        <v>25</v>
      </c>
    </row>
    <row r="33" spans="1:25" x14ac:dyDescent="0.3">
      <c r="A33">
        <v>32</v>
      </c>
      <c r="B33">
        <v>54.6</v>
      </c>
      <c r="C33">
        <v>6.2</v>
      </c>
      <c r="D33">
        <v>1.8</v>
      </c>
      <c r="E33">
        <v>0.7</v>
      </c>
      <c r="F33">
        <v>42.5</v>
      </c>
      <c r="G33">
        <v>2.5</v>
      </c>
      <c r="H33">
        <v>1.1000000000000001</v>
      </c>
      <c r="I33">
        <v>0.1</v>
      </c>
      <c r="J33">
        <v>37.700000000000003</v>
      </c>
      <c r="K33" t="s">
        <v>25</v>
      </c>
      <c r="L33">
        <v>1.7</v>
      </c>
      <c r="M33" t="s">
        <v>25</v>
      </c>
      <c r="N33">
        <v>29.9</v>
      </c>
      <c r="O33" t="s">
        <v>25</v>
      </c>
      <c r="P33">
        <v>1.1000000000000001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 spans="1:25" x14ac:dyDescent="0.3">
      <c r="A34">
        <v>33</v>
      </c>
      <c r="B34">
        <v>52.6</v>
      </c>
      <c r="C34">
        <v>4.8</v>
      </c>
      <c r="D34">
        <v>2.1</v>
      </c>
      <c r="E34">
        <v>1.1000000000000001</v>
      </c>
      <c r="F34">
        <v>44.1</v>
      </c>
      <c r="G34">
        <v>3</v>
      </c>
      <c r="H34">
        <v>0.9</v>
      </c>
      <c r="I34">
        <v>0.2</v>
      </c>
      <c r="J34">
        <v>36.1</v>
      </c>
      <c r="K34">
        <v>1.1000000000000001</v>
      </c>
      <c r="L34">
        <v>1.6</v>
      </c>
      <c r="M34">
        <v>0.1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 spans="1:25" x14ac:dyDescent="0.3">
      <c r="A35">
        <v>34</v>
      </c>
      <c r="B35">
        <v>47.6</v>
      </c>
      <c r="C35">
        <v>3.9</v>
      </c>
      <c r="D35">
        <v>4.5999999999999996</v>
      </c>
      <c r="E35">
        <v>0.9</v>
      </c>
      <c r="F35">
        <v>37.6</v>
      </c>
      <c r="G35">
        <v>1.9</v>
      </c>
      <c r="H35">
        <v>6.3</v>
      </c>
      <c r="I35">
        <v>0.7</v>
      </c>
      <c r="J35">
        <v>32</v>
      </c>
      <c r="K35">
        <v>3.1</v>
      </c>
      <c r="L35">
        <v>1.2</v>
      </c>
      <c r="M35">
        <v>0.2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 spans="1:25" x14ac:dyDescent="0.3">
      <c r="A36">
        <v>35</v>
      </c>
      <c r="B36">
        <v>45.6</v>
      </c>
      <c r="C36">
        <v>3.1</v>
      </c>
      <c r="D36">
        <v>8.5</v>
      </c>
      <c r="E36">
        <v>2.2999999999999998</v>
      </c>
      <c r="F36">
        <v>22.3</v>
      </c>
      <c r="G36">
        <v>0.4</v>
      </c>
      <c r="H36">
        <v>14.1</v>
      </c>
      <c r="I36">
        <v>1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 spans="1:25" x14ac:dyDescent="0.3">
      <c r="A37">
        <v>36</v>
      </c>
      <c r="B37">
        <v>56</v>
      </c>
      <c r="C37">
        <v>5.9</v>
      </c>
      <c r="D37">
        <v>0.5</v>
      </c>
      <c r="E37">
        <v>0.1</v>
      </c>
      <c r="F37">
        <v>47.9</v>
      </c>
      <c r="G37">
        <v>3.3</v>
      </c>
      <c r="H37">
        <v>2.1</v>
      </c>
      <c r="I37">
        <v>0.4</v>
      </c>
      <c r="J37">
        <v>36</v>
      </c>
      <c r="K37">
        <v>0.6</v>
      </c>
      <c r="L37">
        <v>1.7</v>
      </c>
      <c r="M37">
        <v>0</v>
      </c>
      <c r="N37">
        <v>27</v>
      </c>
      <c r="O37" t="s">
        <v>25</v>
      </c>
      <c r="P37">
        <v>0.7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 spans="1:25" x14ac:dyDescent="0.3">
      <c r="A38">
        <v>37</v>
      </c>
      <c r="B38">
        <v>48.7</v>
      </c>
      <c r="C38">
        <v>4.0999999999999996</v>
      </c>
      <c r="D38">
        <v>3.9</v>
      </c>
      <c r="E38">
        <v>1</v>
      </c>
      <c r="F38">
        <v>39.1</v>
      </c>
      <c r="G38">
        <v>2.2999999999999998</v>
      </c>
      <c r="H38">
        <v>1.9</v>
      </c>
      <c r="I38">
        <v>0.2</v>
      </c>
      <c r="J38">
        <v>34.5</v>
      </c>
      <c r="K38" t="s">
        <v>25</v>
      </c>
      <c r="L38">
        <v>1.5</v>
      </c>
      <c r="M38" t="s">
        <v>25</v>
      </c>
      <c r="N38">
        <v>28.9</v>
      </c>
      <c r="O38" t="s">
        <v>25</v>
      </c>
      <c r="P38">
        <v>0.8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 spans="1:25" x14ac:dyDescent="0.3">
      <c r="A39">
        <v>38</v>
      </c>
      <c r="B39">
        <v>44.8</v>
      </c>
      <c r="C39">
        <v>3.1</v>
      </c>
      <c r="D39">
        <v>6.6</v>
      </c>
      <c r="E39">
        <v>1.3</v>
      </c>
      <c r="F39">
        <v>40.299999999999997</v>
      </c>
      <c r="G39">
        <v>2</v>
      </c>
      <c r="H39">
        <v>2.1</v>
      </c>
      <c r="I39">
        <v>0.4</v>
      </c>
      <c r="J39">
        <v>31.5</v>
      </c>
      <c r="K39">
        <v>3.2</v>
      </c>
      <c r="L39">
        <v>1</v>
      </c>
      <c r="M39">
        <v>0.4</v>
      </c>
      <c r="N39">
        <v>25.7</v>
      </c>
      <c r="O39">
        <v>1.7</v>
      </c>
      <c r="P39">
        <v>0.5</v>
      </c>
      <c r="Q39">
        <v>0.2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 spans="1:25" x14ac:dyDescent="0.3">
      <c r="A40">
        <v>39</v>
      </c>
      <c r="B40">
        <v>57.6</v>
      </c>
      <c r="C40">
        <v>7.2</v>
      </c>
      <c r="D40">
        <v>3</v>
      </c>
      <c r="E40">
        <v>1.2</v>
      </c>
      <c r="F40">
        <v>50</v>
      </c>
      <c r="G40">
        <v>4.5</v>
      </c>
      <c r="H40">
        <v>3</v>
      </c>
      <c r="I40">
        <v>0.2</v>
      </c>
      <c r="J40">
        <v>36.4</v>
      </c>
      <c r="K40">
        <v>-0.3</v>
      </c>
      <c r="L40">
        <v>1.8</v>
      </c>
      <c r="M40">
        <v>-0.2</v>
      </c>
      <c r="N40">
        <v>26.9</v>
      </c>
      <c r="O40">
        <v>0.2</v>
      </c>
      <c r="P40">
        <v>0.7</v>
      </c>
      <c r="Q40">
        <v>-0.1</v>
      </c>
      <c r="R40">
        <v>18.5</v>
      </c>
      <c r="S40" t="s">
        <v>25</v>
      </c>
      <c r="T40">
        <v>0.2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 spans="1:25" x14ac:dyDescent="0.3">
      <c r="A41">
        <v>40</v>
      </c>
      <c r="B41">
        <v>54.9</v>
      </c>
      <c r="C41">
        <v>5.8</v>
      </c>
      <c r="D41">
        <v>1.6</v>
      </c>
      <c r="E41">
        <v>0.3</v>
      </c>
      <c r="F41">
        <v>43.8</v>
      </c>
      <c r="G41">
        <v>2.6</v>
      </c>
      <c r="H41">
        <v>-0.3</v>
      </c>
      <c r="I41">
        <v>0.1</v>
      </c>
      <c r="J41">
        <v>36.1</v>
      </c>
      <c r="K41">
        <v>0.5</v>
      </c>
      <c r="L41">
        <v>1.6</v>
      </c>
      <c r="M41">
        <v>0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 spans="1:25" x14ac:dyDescent="0.3">
      <c r="A42">
        <v>41</v>
      </c>
      <c r="B42">
        <v>59.2</v>
      </c>
      <c r="C42">
        <v>7.5</v>
      </c>
      <c r="D42">
        <v>4</v>
      </c>
      <c r="E42">
        <v>2</v>
      </c>
      <c r="F42">
        <v>43.2</v>
      </c>
      <c r="G42">
        <v>2.9</v>
      </c>
      <c r="H42">
        <v>2.5</v>
      </c>
      <c r="I42">
        <v>0.5</v>
      </c>
      <c r="J42">
        <v>33.1</v>
      </c>
      <c r="K42">
        <v>0.3</v>
      </c>
      <c r="L42">
        <v>1.1000000000000001</v>
      </c>
      <c r="M42">
        <v>0.2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</row>
    <row r="43" spans="1:25" x14ac:dyDescent="0.3">
      <c r="A43">
        <v>42</v>
      </c>
      <c r="B43">
        <v>57.7</v>
      </c>
      <c r="C43">
        <v>6.9</v>
      </c>
      <c r="D43">
        <v>1.5</v>
      </c>
      <c r="E43">
        <v>1.1000000000000001</v>
      </c>
      <c r="F43">
        <v>47.4</v>
      </c>
      <c r="G43">
        <v>3.7</v>
      </c>
      <c r="H43">
        <v>3.2</v>
      </c>
      <c r="I43">
        <v>0.7</v>
      </c>
      <c r="J43">
        <v>36.200000000000003</v>
      </c>
      <c r="K43">
        <v>2.1</v>
      </c>
      <c r="L43">
        <v>1.7</v>
      </c>
      <c r="M43">
        <v>0.2</v>
      </c>
      <c r="N43">
        <v>29.7</v>
      </c>
      <c r="O43">
        <v>3.2</v>
      </c>
      <c r="P43">
        <v>1</v>
      </c>
      <c r="Q43">
        <v>0.2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</row>
    <row r="44" spans="1:25" x14ac:dyDescent="0.3">
      <c r="A44">
        <v>43</v>
      </c>
      <c r="B44">
        <v>51.8</v>
      </c>
      <c r="C44">
        <v>6.2</v>
      </c>
      <c r="D44">
        <v>2.9</v>
      </c>
      <c r="E44">
        <v>0.2</v>
      </c>
      <c r="F44">
        <v>42.8</v>
      </c>
      <c r="G44">
        <v>3.2</v>
      </c>
      <c r="H44">
        <v>0.9</v>
      </c>
      <c r="I44">
        <v>0</v>
      </c>
      <c r="J44">
        <v>31.6</v>
      </c>
      <c r="K44">
        <v>1.8</v>
      </c>
      <c r="L44">
        <v>1.2</v>
      </c>
      <c r="M44">
        <v>0.1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</row>
    <row r="45" spans="1:25" x14ac:dyDescent="0.3">
      <c r="A45">
        <v>44</v>
      </c>
      <c r="B45">
        <v>52.7</v>
      </c>
      <c r="C45">
        <v>4.8</v>
      </c>
      <c r="D45">
        <v>3</v>
      </c>
      <c r="E45">
        <v>0.9</v>
      </c>
      <c r="F45">
        <v>45.4</v>
      </c>
      <c r="G45">
        <v>3.1</v>
      </c>
      <c r="H45">
        <v>0.2</v>
      </c>
      <c r="I45">
        <v>0</v>
      </c>
      <c r="J45">
        <v>40.5</v>
      </c>
      <c r="K45">
        <v>-0.2</v>
      </c>
      <c r="L45">
        <v>2.1</v>
      </c>
      <c r="M45">
        <v>0</v>
      </c>
      <c r="N45">
        <v>28.7</v>
      </c>
      <c r="O45">
        <v>-0.7</v>
      </c>
      <c r="P45">
        <v>0.9</v>
      </c>
      <c r="Q45">
        <v>-0.1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</row>
    <row r="46" spans="1:25" x14ac:dyDescent="0.3">
      <c r="A46">
        <v>45</v>
      </c>
      <c r="B46">
        <v>54</v>
      </c>
      <c r="C46">
        <v>6.2</v>
      </c>
      <c r="D46">
        <v>0.3</v>
      </c>
      <c r="E46">
        <v>1.4</v>
      </c>
      <c r="F46">
        <v>48.2</v>
      </c>
      <c r="G46">
        <v>3.7</v>
      </c>
      <c r="H46">
        <v>0.6</v>
      </c>
      <c r="I46">
        <v>0.2</v>
      </c>
      <c r="J46">
        <v>39.700000000000003</v>
      </c>
      <c r="K46">
        <v>2.2999999999999998</v>
      </c>
      <c r="L46">
        <v>2.2000000000000002</v>
      </c>
      <c r="M46">
        <v>0.5</v>
      </c>
      <c r="N46">
        <v>30.7</v>
      </c>
      <c r="O46">
        <v>1.6</v>
      </c>
      <c r="P46">
        <v>1</v>
      </c>
      <c r="Q46">
        <v>0.3</v>
      </c>
      <c r="R46">
        <v>21.6</v>
      </c>
      <c r="S46" t="s">
        <v>25</v>
      </c>
      <c r="T46">
        <v>0.3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</row>
    <row r="47" spans="1:25" x14ac:dyDescent="0.3">
      <c r="A47">
        <v>46</v>
      </c>
      <c r="B47">
        <v>28.7</v>
      </c>
      <c r="C47">
        <v>0.9</v>
      </c>
      <c r="D47">
        <v>18.399999999999999</v>
      </c>
      <c r="E47">
        <v>2.6</v>
      </c>
      <c r="F47">
        <v>28.6</v>
      </c>
      <c r="G47">
        <v>0.7</v>
      </c>
      <c r="H47">
        <v>11.9</v>
      </c>
      <c r="I47">
        <v>1.8</v>
      </c>
      <c r="J47">
        <v>20</v>
      </c>
      <c r="K47">
        <v>11.9</v>
      </c>
      <c r="L47">
        <v>0.3</v>
      </c>
      <c r="M47">
        <v>0.9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</row>
    <row r="48" spans="1:25" x14ac:dyDescent="0.3">
      <c r="A48">
        <v>47</v>
      </c>
      <c r="B48">
        <v>29.8</v>
      </c>
      <c r="C48">
        <v>0.8</v>
      </c>
      <c r="D48">
        <v>20.100000000000001</v>
      </c>
      <c r="E48">
        <v>3.6</v>
      </c>
      <c r="F48">
        <v>24.6</v>
      </c>
      <c r="G48">
        <v>0.5</v>
      </c>
      <c r="H48">
        <v>19.399999999999999</v>
      </c>
      <c r="I48">
        <v>2.4</v>
      </c>
      <c r="J48">
        <v>20.7</v>
      </c>
      <c r="K48">
        <v>10.7</v>
      </c>
      <c r="L48">
        <v>0.3</v>
      </c>
      <c r="M48">
        <v>0.7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</row>
    <row r="49" spans="1:25" x14ac:dyDescent="0.3">
      <c r="A49">
        <v>48</v>
      </c>
      <c r="B49">
        <v>60.7</v>
      </c>
      <c r="C49">
        <v>8.3000000000000007</v>
      </c>
      <c r="D49">
        <v>1.9</v>
      </c>
      <c r="E49">
        <v>0.7</v>
      </c>
      <c r="F49">
        <v>44.6</v>
      </c>
      <c r="G49">
        <v>2.9</v>
      </c>
      <c r="H49">
        <v>0.1</v>
      </c>
      <c r="I49">
        <v>0</v>
      </c>
      <c r="J49">
        <v>37.1</v>
      </c>
      <c r="K49">
        <v>1.2</v>
      </c>
      <c r="L49">
        <v>1.8</v>
      </c>
      <c r="M49">
        <v>0</v>
      </c>
      <c r="N49">
        <v>22.7</v>
      </c>
      <c r="O49">
        <v>5.0999999999999996</v>
      </c>
      <c r="P49">
        <v>0.4</v>
      </c>
      <c r="Q49">
        <v>0.3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</row>
    <row r="50" spans="1:25" x14ac:dyDescent="0.3">
      <c r="A50">
        <v>49</v>
      </c>
      <c r="B50">
        <v>58.8</v>
      </c>
      <c r="C50">
        <v>8.3000000000000007</v>
      </c>
      <c r="D50">
        <v>2.2000000000000002</v>
      </c>
      <c r="E50">
        <v>1.2</v>
      </c>
      <c r="F50">
        <v>44</v>
      </c>
      <c r="G50">
        <v>2.8</v>
      </c>
      <c r="H50">
        <v>3.3</v>
      </c>
      <c r="I50">
        <v>0.5</v>
      </c>
      <c r="J50">
        <v>32.1</v>
      </c>
      <c r="K50">
        <v>1.5</v>
      </c>
      <c r="L50">
        <v>1.2</v>
      </c>
      <c r="M50">
        <v>0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</row>
    <row r="51" spans="1:25" x14ac:dyDescent="0.3">
      <c r="A51">
        <v>50</v>
      </c>
      <c r="B51">
        <v>58.4</v>
      </c>
      <c r="C51">
        <v>7.7</v>
      </c>
      <c r="D51">
        <v>1.7</v>
      </c>
      <c r="E51">
        <v>-0.1</v>
      </c>
      <c r="F51">
        <v>40.9</v>
      </c>
      <c r="G51">
        <v>2.2999999999999998</v>
      </c>
      <c r="H51">
        <v>1.9</v>
      </c>
      <c r="I51">
        <v>0.4</v>
      </c>
      <c r="J51">
        <v>33.1</v>
      </c>
      <c r="K51" t="s">
        <v>25</v>
      </c>
      <c r="L51">
        <v>1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</row>
    <row r="52" spans="1:25" x14ac:dyDescent="0.3">
      <c r="A52">
        <v>51</v>
      </c>
      <c r="B52">
        <v>56</v>
      </c>
      <c r="C52">
        <v>6.4</v>
      </c>
      <c r="D52">
        <v>0.2</v>
      </c>
      <c r="E52">
        <v>-0.5</v>
      </c>
      <c r="F52">
        <v>47.5</v>
      </c>
      <c r="G52">
        <v>4.0999999999999996</v>
      </c>
      <c r="H52">
        <v>-0.5</v>
      </c>
      <c r="I52">
        <v>-0.4</v>
      </c>
      <c r="J52">
        <v>38.6</v>
      </c>
      <c r="K52">
        <v>0.2</v>
      </c>
      <c r="L52">
        <v>2.1</v>
      </c>
      <c r="M52">
        <v>-0.2</v>
      </c>
      <c r="N52">
        <v>30.9</v>
      </c>
      <c r="O52" t="s">
        <v>25</v>
      </c>
      <c r="P52">
        <v>1.1000000000000001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25</v>
      </c>
      <c r="Y52" t="s">
        <v>25</v>
      </c>
    </row>
    <row r="53" spans="1:25" x14ac:dyDescent="0.3">
      <c r="A53">
        <v>52</v>
      </c>
      <c r="B53">
        <v>55.3</v>
      </c>
      <c r="C53">
        <v>5.9</v>
      </c>
      <c r="D53">
        <v>0.9</v>
      </c>
      <c r="E53">
        <v>0.6</v>
      </c>
      <c r="F53">
        <v>42.1</v>
      </c>
      <c r="G53">
        <v>2.8</v>
      </c>
      <c r="H53">
        <v>1</v>
      </c>
      <c r="I53">
        <v>0</v>
      </c>
      <c r="J53">
        <v>33.700000000000003</v>
      </c>
      <c r="K53">
        <v>0.7</v>
      </c>
      <c r="L53">
        <v>1.3</v>
      </c>
      <c r="M53">
        <v>0.1</v>
      </c>
      <c r="N53">
        <v>18.399999999999999</v>
      </c>
      <c r="O53">
        <v>3.6</v>
      </c>
      <c r="P53">
        <v>0.2</v>
      </c>
      <c r="Q53">
        <v>0.2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</row>
    <row r="54" spans="1:25" x14ac:dyDescent="0.3">
      <c r="A54">
        <v>53</v>
      </c>
      <c r="B54">
        <v>65</v>
      </c>
      <c r="C54">
        <v>10.199999999999999</v>
      </c>
      <c r="D54">
        <v>1.1000000000000001</v>
      </c>
      <c r="E54">
        <v>0.6</v>
      </c>
      <c r="F54">
        <v>49.7</v>
      </c>
      <c r="G54">
        <v>4.0999999999999996</v>
      </c>
      <c r="H54">
        <v>-1</v>
      </c>
      <c r="I54">
        <v>0.1</v>
      </c>
      <c r="J54">
        <v>40.6</v>
      </c>
      <c r="K54">
        <v>0.2</v>
      </c>
      <c r="L54">
        <v>2.1</v>
      </c>
      <c r="M54">
        <v>0</v>
      </c>
      <c r="N54">
        <v>29.1</v>
      </c>
      <c r="O54">
        <v>-0.6</v>
      </c>
      <c r="P54">
        <v>0.8</v>
      </c>
      <c r="Q54">
        <v>0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</row>
    <row r="55" spans="1:25" x14ac:dyDescent="0.3">
      <c r="A55">
        <v>54</v>
      </c>
      <c r="B55">
        <v>55.5</v>
      </c>
      <c r="C55">
        <v>6.7</v>
      </c>
      <c r="D55">
        <v>1.6</v>
      </c>
      <c r="E55">
        <v>0.4</v>
      </c>
      <c r="F55">
        <v>45.2</v>
      </c>
      <c r="G55">
        <v>3</v>
      </c>
      <c r="H55">
        <v>1.2</v>
      </c>
      <c r="I55">
        <v>0.2</v>
      </c>
      <c r="J55">
        <v>34</v>
      </c>
      <c r="K55">
        <v>0.2</v>
      </c>
      <c r="L55">
        <v>1.5</v>
      </c>
      <c r="M55">
        <v>-0.1</v>
      </c>
      <c r="N55">
        <v>19</v>
      </c>
      <c r="O55">
        <v>4.8</v>
      </c>
      <c r="P55">
        <v>0.2</v>
      </c>
      <c r="Q55">
        <v>0.3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</row>
    <row r="56" spans="1:25" x14ac:dyDescent="0.3">
      <c r="A56">
        <v>55</v>
      </c>
      <c r="B56">
        <v>56.7</v>
      </c>
      <c r="C56">
        <v>6.9</v>
      </c>
      <c r="D56">
        <v>0.7</v>
      </c>
      <c r="E56">
        <v>0.5</v>
      </c>
      <c r="F56">
        <v>47.8</v>
      </c>
      <c r="G56">
        <v>3.8</v>
      </c>
      <c r="H56">
        <v>0.7</v>
      </c>
      <c r="I56">
        <v>0.1</v>
      </c>
      <c r="J56">
        <v>36.700000000000003</v>
      </c>
      <c r="K56">
        <v>0.1</v>
      </c>
      <c r="L56">
        <v>2</v>
      </c>
      <c r="M56">
        <v>-0.1</v>
      </c>
      <c r="N56">
        <v>26.3</v>
      </c>
      <c r="O56">
        <v>-0.4</v>
      </c>
      <c r="P56">
        <v>0.7</v>
      </c>
      <c r="Q56">
        <v>-0.1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25</v>
      </c>
      <c r="Y56" t="s">
        <v>25</v>
      </c>
    </row>
    <row r="57" spans="1:25" x14ac:dyDescent="0.3">
      <c r="A57">
        <v>56</v>
      </c>
      <c r="B57">
        <v>56.2</v>
      </c>
      <c r="C57">
        <v>6.4</v>
      </c>
      <c r="D57">
        <v>1.6</v>
      </c>
      <c r="E57">
        <v>0.8</v>
      </c>
      <c r="F57">
        <v>45.9</v>
      </c>
      <c r="G57">
        <v>3.4</v>
      </c>
      <c r="H57">
        <v>2.8</v>
      </c>
      <c r="I57">
        <v>0.7</v>
      </c>
      <c r="J57">
        <v>37.9</v>
      </c>
      <c r="K57">
        <v>0.3</v>
      </c>
      <c r="L57">
        <v>2</v>
      </c>
      <c r="M57">
        <v>0.2</v>
      </c>
      <c r="N57">
        <v>30.7</v>
      </c>
      <c r="O57">
        <v>1.2</v>
      </c>
      <c r="P57">
        <v>1.1000000000000001</v>
      </c>
      <c r="Q57">
        <v>0</v>
      </c>
      <c r="R57">
        <v>23.4</v>
      </c>
      <c r="S57">
        <v>0</v>
      </c>
      <c r="T57">
        <v>0.4</v>
      </c>
      <c r="U57">
        <v>0</v>
      </c>
      <c r="V57" t="s">
        <v>25</v>
      </c>
      <c r="W57" t="s">
        <v>25</v>
      </c>
      <c r="X57" t="s">
        <v>25</v>
      </c>
      <c r="Y57" t="s">
        <v>25</v>
      </c>
    </row>
    <row r="58" spans="1:25" x14ac:dyDescent="0.3">
      <c r="A58">
        <v>57</v>
      </c>
      <c r="B58">
        <v>54.2</v>
      </c>
      <c r="C58">
        <v>5.5</v>
      </c>
      <c r="D58">
        <v>2.8</v>
      </c>
      <c r="E58">
        <v>0.6</v>
      </c>
      <c r="F58">
        <v>46.6</v>
      </c>
      <c r="G58">
        <v>3.4</v>
      </c>
      <c r="H58">
        <v>1.7</v>
      </c>
      <c r="I58">
        <v>0.4</v>
      </c>
      <c r="J58">
        <v>38.200000000000003</v>
      </c>
      <c r="K58">
        <v>0.8</v>
      </c>
      <c r="L58">
        <v>1.8</v>
      </c>
      <c r="M58">
        <v>0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25</v>
      </c>
      <c r="Y58" t="s">
        <v>25</v>
      </c>
    </row>
    <row r="59" spans="1:25" x14ac:dyDescent="0.3">
      <c r="A59">
        <v>58</v>
      </c>
      <c r="B59">
        <v>59.4</v>
      </c>
      <c r="C59">
        <v>6.9</v>
      </c>
      <c r="D59">
        <v>0.5</v>
      </c>
      <c r="E59">
        <v>0.8</v>
      </c>
      <c r="F59">
        <v>53.1</v>
      </c>
      <c r="G59">
        <v>5.0999999999999996</v>
      </c>
      <c r="H59">
        <v>0.5</v>
      </c>
      <c r="I59">
        <v>0.1</v>
      </c>
      <c r="J59">
        <v>40.5</v>
      </c>
      <c r="K59">
        <v>-0.6</v>
      </c>
      <c r="L59">
        <v>2.4</v>
      </c>
      <c r="M59">
        <v>0</v>
      </c>
      <c r="N59">
        <v>34.6</v>
      </c>
      <c r="O59">
        <v>0.3</v>
      </c>
      <c r="P59">
        <v>1.5</v>
      </c>
      <c r="Q59">
        <v>0</v>
      </c>
      <c r="R59">
        <v>31.1</v>
      </c>
      <c r="S59">
        <v>0.2</v>
      </c>
      <c r="T59">
        <v>1.1000000000000001</v>
      </c>
      <c r="U59">
        <v>0</v>
      </c>
      <c r="V59">
        <v>21.6</v>
      </c>
      <c r="W59" t="s">
        <v>25</v>
      </c>
      <c r="X59">
        <v>0.3</v>
      </c>
      <c r="Y59" t="s">
        <v>25</v>
      </c>
    </row>
    <row r="60" spans="1:25" x14ac:dyDescent="0.3">
      <c r="A60">
        <v>59</v>
      </c>
      <c r="B60">
        <v>65.099999999999994</v>
      </c>
      <c r="C60">
        <v>10.5</v>
      </c>
      <c r="D60">
        <v>1</v>
      </c>
      <c r="E60">
        <v>0.5</v>
      </c>
      <c r="F60">
        <v>50.4</v>
      </c>
      <c r="G60">
        <v>4.5</v>
      </c>
      <c r="H60">
        <v>3.1</v>
      </c>
      <c r="I60">
        <v>1</v>
      </c>
      <c r="J60">
        <v>37.200000000000003</v>
      </c>
      <c r="K60">
        <v>4.3</v>
      </c>
      <c r="L60">
        <v>1.9</v>
      </c>
      <c r="M60">
        <v>0.5</v>
      </c>
      <c r="N60">
        <v>30.4</v>
      </c>
      <c r="O60">
        <v>3.4</v>
      </c>
      <c r="P60">
        <v>1</v>
      </c>
      <c r="Q60">
        <v>0.4</v>
      </c>
      <c r="R60">
        <v>21.1</v>
      </c>
      <c r="S60">
        <v>5</v>
      </c>
      <c r="T60">
        <v>0.3</v>
      </c>
      <c r="U60">
        <v>0.3</v>
      </c>
      <c r="V60" t="s">
        <v>25</v>
      </c>
      <c r="W60" t="s">
        <v>25</v>
      </c>
      <c r="X60" t="s">
        <v>25</v>
      </c>
      <c r="Y60" t="s">
        <v>25</v>
      </c>
    </row>
    <row r="61" spans="1:25" x14ac:dyDescent="0.3">
      <c r="A61">
        <v>60</v>
      </c>
      <c r="B61">
        <v>53.4</v>
      </c>
      <c r="C61">
        <v>5.3</v>
      </c>
      <c r="D61">
        <v>0.6</v>
      </c>
      <c r="E61">
        <v>0.2</v>
      </c>
      <c r="F61">
        <v>44.7</v>
      </c>
      <c r="G61">
        <v>2.7</v>
      </c>
      <c r="H61">
        <v>0.4</v>
      </c>
      <c r="I61">
        <v>0.3</v>
      </c>
      <c r="J61">
        <v>33.1</v>
      </c>
      <c r="K61">
        <v>0.3</v>
      </c>
      <c r="L61">
        <v>1.3</v>
      </c>
      <c r="M61">
        <v>0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</row>
    <row r="62" spans="1:25" x14ac:dyDescent="0.3">
      <c r="A62">
        <v>61</v>
      </c>
      <c r="B62">
        <v>56.9</v>
      </c>
      <c r="C62">
        <v>7.7</v>
      </c>
      <c r="D62">
        <v>0.8</v>
      </c>
      <c r="E62">
        <v>0.1</v>
      </c>
      <c r="F62">
        <v>46</v>
      </c>
      <c r="G62">
        <v>3.5</v>
      </c>
      <c r="H62">
        <v>0</v>
      </c>
      <c r="I62">
        <v>-0.2</v>
      </c>
      <c r="J62">
        <v>39.700000000000003</v>
      </c>
      <c r="K62" t="s">
        <v>25</v>
      </c>
      <c r="L62">
        <v>2.2999999999999998</v>
      </c>
      <c r="M62" t="s">
        <v>25</v>
      </c>
      <c r="N62">
        <v>24.4</v>
      </c>
      <c r="O62" t="s">
        <v>25</v>
      </c>
      <c r="P62">
        <v>0.5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  <c r="W62" t="s">
        <v>25</v>
      </c>
      <c r="X62" t="s">
        <v>25</v>
      </c>
      <c r="Y62" t="s">
        <v>25</v>
      </c>
    </row>
    <row r="63" spans="1:25" x14ac:dyDescent="0.3">
      <c r="A63">
        <v>62</v>
      </c>
      <c r="B63">
        <v>56.7</v>
      </c>
      <c r="C63">
        <v>7.3</v>
      </c>
      <c r="D63">
        <v>1.8</v>
      </c>
      <c r="E63">
        <v>0.2</v>
      </c>
      <c r="F63">
        <v>46.8</v>
      </c>
      <c r="G63">
        <v>3.4</v>
      </c>
      <c r="H63">
        <v>1.2</v>
      </c>
      <c r="I63">
        <v>0</v>
      </c>
      <c r="J63">
        <v>33.4</v>
      </c>
      <c r="K63" t="s">
        <v>25</v>
      </c>
      <c r="L63">
        <v>1.3</v>
      </c>
      <c r="M63" t="s">
        <v>25</v>
      </c>
      <c r="N63">
        <v>25.5</v>
      </c>
      <c r="O63" t="s">
        <v>25</v>
      </c>
      <c r="P63">
        <v>0.6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  <c r="W63" t="s">
        <v>25</v>
      </c>
      <c r="X63" t="s">
        <v>25</v>
      </c>
      <c r="Y63" t="s">
        <v>25</v>
      </c>
    </row>
    <row r="64" spans="1:25" x14ac:dyDescent="0.3">
      <c r="A64">
        <v>63</v>
      </c>
      <c r="B64">
        <v>49.4</v>
      </c>
      <c r="C64">
        <v>4.5</v>
      </c>
      <c r="D64">
        <v>2.2999999999999998</v>
      </c>
      <c r="E64">
        <v>0.6</v>
      </c>
      <c r="F64">
        <v>41.9</v>
      </c>
      <c r="G64">
        <v>2.7</v>
      </c>
      <c r="H64">
        <v>1.4</v>
      </c>
      <c r="I64">
        <v>0.1</v>
      </c>
      <c r="J64">
        <v>31.4</v>
      </c>
      <c r="K64">
        <v>0.9</v>
      </c>
      <c r="L64">
        <v>1.1000000000000001</v>
      </c>
      <c r="M64">
        <v>0.1</v>
      </c>
      <c r="N64">
        <v>19.3</v>
      </c>
      <c r="O64">
        <v>3.4</v>
      </c>
      <c r="P64">
        <v>0.2</v>
      </c>
      <c r="Q64">
        <v>0.2</v>
      </c>
      <c r="R64">
        <v>18.399999999999999</v>
      </c>
      <c r="S64" t="s">
        <v>25</v>
      </c>
      <c r="T64">
        <v>0.2</v>
      </c>
      <c r="U64" t="s">
        <v>25</v>
      </c>
      <c r="V64" t="s">
        <v>25</v>
      </c>
      <c r="W64" t="s">
        <v>25</v>
      </c>
      <c r="X64" t="s">
        <v>25</v>
      </c>
      <c r="Y64" t="s">
        <v>25</v>
      </c>
    </row>
    <row r="65" spans="1:25" x14ac:dyDescent="0.3">
      <c r="A65">
        <v>64</v>
      </c>
      <c r="B65">
        <v>58.2</v>
      </c>
      <c r="C65">
        <v>7.5</v>
      </c>
      <c r="D65">
        <v>0.6</v>
      </c>
      <c r="E65">
        <v>0.3</v>
      </c>
      <c r="F65">
        <v>43</v>
      </c>
      <c r="G65">
        <v>2.8</v>
      </c>
      <c r="H65">
        <v>0.4</v>
      </c>
      <c r="I65">
        <v>0.1</v>
      </c>
      <c r="J65">
        <v>27.7</v>
      </c>
      <c r="K65">
        <v>1.4</v>
      </c>
      <c r="L65">
        <v>0.7</v>
      </c>
      <c r="M65">
        <v>0.1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  <c r="W65" t="s">
        <v>25</v>
      </c>
      <c r="X65" t="s">
        <v>25</v>
      </c>
      <c r="Y65" t="s">
        <v>25</v>
      </c>
    </row>
    <row r="66" spans="1:25" x14ac:dyDescent="0.3">
      <c r="A66">
        <v>65</v>
      </c>
      <c r="B66">
        <v>53.1</v>
      </c>
      <c r="C66">
        <v>5.0999999999999996</v>
      </c>
      <c r="D66" t="s">
        <v>25</v>
      </c>
      <c r="E66" t="s">
        <v>25</v>
      </c>
      <c r="F66">
        <v>43.5</v>
      </c>
      <c r="G66">
        <v>3</v>
      </c>
      <c r="H66" t="s">
        <v>25</v>
      </c>
      <c r="I66" t="s">
        <v>25</v>
      </c>
      <c r="J66">
        <v>28.7</v>
      </c>
      <c r="K66" t="s">
        <v>25</v>
      </c>
      <c r="L66">
        <v>0.8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X66" t="s">
        <v>25</v>
      </c>
      <c r="Y66" t="s">
        <v>25</v>
      </c>
    </row>
    <row r="67" spans="1:25" x14ac:dyDescent="0.3">
      <c r="A67">
        <v>66</v>
      </c>
      <c r="B67">
        <v>53.9</v>
      </c>
      <c r="C67">
        <v>5.8</v>
      </c>
      <c r="D67">
        <v>1.3</v>
      </c>
      <c r="E67">
        <v>0.9</v>
      </c>
      <c r="F67">
        <v>38.5</v>
      </c>
      <c r="G67">
        <v>2.1</v>
      </c>
      <c r="H67">
        <v>-0.2</v>
      </c>
      <c r="I67">
        <v>0.1</v>
      </c>
      <c r="J67">
        <v>31.4</v>
      </c>
      <c r="K67" t="s">
        <v>25</v>
      </c>
      <c r="L67">
        <v>1.1000000000000001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  <c r="W67" t="s">
        <v>25</v>
      </c>
      <c r="X67" t="s">
        <v>25</v>
      </c>
      <c r="Y67" t="s">
        <v>25</v>
      </c>
    </row>
    <row r="68" spans="1:25" x14ac:dyDescent="0.3">
      <c r="A68">
        <v>67</v>
      </c>
      <c r="B68">
        <v>60.9</v>
      </c>
      <c r="C68">
        <v>8.9</v>
      </c>
      <c r="D68">
        <v>1.9</v>
      </c>
      <c r="E68">
        <v>0.5</v>
      </c>
      <c r="F68">
        <v>53.3</v>
      </c>
      <c r="G68">
        <v>5.2</v>
      </c>
      <c r="H68">
        <v>0.7</v>
      </c>
      <c r="I68">
        <v>0.1</v>
      </c>
      <c r="J68">
        <v>42.8</v>
      </c>
      <c r="K68">
        <v>0.2</v>
      </c>
      <c r="L68">
        <v>2.8</v>
      </c>
      <c r="M68">
        <v>0</v>
      </c>
      <c r="N68">
        <v>32</v>
      </c>
      <c r="O68">
        <v>-0.1</v>
      </c>
      <c r="P68">
        <v>1.2</v>
      </c>
      <c r="Q68">
        <v>-0.1</v>
      </c>
      <c r="R68">
        <v>25.8</v>
      </c>
      <c r="S68" t="s">
        <v>25</v>
      </c>
      <c r="T68">
        <v>0.7</v>
      </c>
      <c r="U68" t="s">
        <v>25</v>
      </c>
      <c r="V68">
        <v>20.399999999999999</v>
      </c>
      <c r="W68" t="s">
        <v>25</v>
      </c>
      <c r="X68">
        <v>0.3</v>
      </c>
      <c r="Y68" t="s">
        <v>25</v>
      </c>
    </row>
    <row r="69" spans="1:25" x14ac:dyDescent="0.3">
      <c r="A69">
        <v>68</v>
      </c>
      <c r="B69">
        <v>30.6</v>
      </c>
      <c r="C69">
        <v>0.9</v>
      </c>
      <c r="D69" t="s">
        <v>25</v>
      </c>
      <c r="E69" t="s">
        <v>25</v>
      </c>
      <c r="F69">
        <v>29</v>
      </c>
      <c r="G69">
        <v>0.7</v>
      </c>
      <c r="H69">
        <v>15.7</v>
      </c>
      <c r="I69">
        <v>2.2999999999999998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  <c r="W69" t="s">
        <v>25</v>
      </c>
      <c r="X69" t="s">
        <v>25</v>
      </c>
      <c r="Y69" t="s">
        <v>25</v>
      </c>
    </row>
    <row r="70" spans="1:25" x14ac:dyDescent="0.3">
      <c r="A70">
        <v>69</v>
      </c>
      <c r="B70">
        <v>57.4</v>
      </c>
      <c r="C70">
        <v>6.4</v>
      </c>
      <c r="D70">
        <v>2.2000000000000002</v>
      </c>
      <c r="E70">
        <v>0.9</v>
      </c>
      <c r="F70">
        <v>45.2</v>
      </c>
      <c r="G70">
        <v>3.2</v>
      </c>
      <c r="H70">
        <v>0.2</v>
      </c>
      <c r="I70">
        <v>0.1</v>
      </c>
      <c r="J70">
        <v>35.299999999999997</v>
      </c>
      <c r="K70" t="s">
        <v>25</v>
      </c>
      <c r="L70">
        <v>1.4</v>
      </c>
      <c r="M70" t="s">
        <v>25</v>
      </c>
      <c r="N70">
        <v>31</v>
      </c>
      <c r="O70" t="s">
        <v>25</v>
      </c>
      <c r="P70">
        <v>0.9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  <c r="W70" t="s">
        <v>25</v>
      </c>
      <c r="X70" t="s">
        <v>25</v>
      </c>
      <c r="Y70" t="s">
        <v>25</v>
      </c>
    </row>
    <row r="71" spans="1:25" x14ac:dyDescent="0.3">
      <c r="A71">
        <v>70</v>
      </c>
      <c r="B71">
        <v>54.4</v>
      </c>
      <c r="C71">
        <v>5.2</v>
      </c>
      <c r="D71">
        <v>2.6</v>
      </c>
      <c r="E71">
        <v>1</v>
      </c>
      <c r="F71">
        <v>41.6</v>
      </c>
      <c r="G71">
        <v>2.5</v>
      </c>
      <c r="H71">
        <v>1.5</v>
      </c>
      <c r="I71">
        <v>0.3</v>
      </c>
      <c r="J71">
        <v>32.4</v>
      </c>
      <c r="K71" t="s">
        <v>25</v>
      </c>
      <c r="L71">
        <v>1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  <c r="W71" t="s">
        <v>25</v>
      </c>
      <c r="X71" t="s">
        <v>25</v>
      </c>
      <c r="Y71" t="s">
        <v>25</v>
      </c>
    </row>
    <row r="72" spans="1:25" x14ac:dyDescent="0.3">
      <c r="A72">
        <v>71</v>
      </c>
      <c r="B72">
        <v>48.7</v>
      </c>
      <c r="C72">
        <v>4.5999999999999996</v>
      </c>
      <c r="D72" t="s">
        <v>25</v>
      </c>
      <c r="E72" t="s">
        <v>25</v>
      </c>
      <c r="F72">
        <v>42.9</v>
      </c>
      <c r="G72">
        <v>2.8</v>
      </c>
      <c r="H72">
        <v>3.5</v>
      </c>
      <c r="I72">
        <v>0.7</v>
      </c>
      <c r="J72">
        <v>26.6</v>
      </c>
      <c r="K72" t="s">
        <v>25</v>
      </c>
      <c r="L72">
        <v>0.6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  <c r="W72" t="s">
        <v>25</v>
      </c>
      <c r="X72" t="s">
        <v>25</v>
      </c>
      <c r="Y72" t="s">
        <v>25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workbookViewId="0">
      <selection activeCell="B1" sqref="B1:C72"/>
    </sheetView>
  </sheetViews>
  <sheetFormatPr defaultColWidth="11" defaultRowHeight="13.5" x14ac:dyDescent="0.3"/>
  <sheetData>
    <row r="1" spans="1:13" x14ac:dyDescent="0.3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10</v>
      </c>
      <c r="H1" t="s">
        <v>13</v>
      </c>
      <c r="I1" t="s">
        <v>14</v>
      </c>
      <c r="J1" t="s">
        <v>17</v>
      </c>
      <c r="K1" t="s">
        <v>18</v>
      </c>
      <c r="L1" t="s">
        <v>21</v>
      </c>
      <c r="M1" t="s">
        <v>22</v>
      </c>
    </row>
    <row r="2" spans="1:13" x14ac:dyDescent="0.3">
      <c r="A2">
        <v>22</v>
      </c>
      <c r="B2">
        <v>56.6</v>
      </c>
      <c r="C2">
        <v>1.5</v>
      </c>
      <c r="D2">
        <v>36.299999999999997</v>
      </c>
      <c r="E2">
        <v>2.6</v>
      </c>
      <c r="F2">
        <v>18.7</v>
      </c>
      <c r="G2">
        <v>9.1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</row>
    <row r="3" spans="1:13" x14ac:dyDescent="0.3">
      <c r="A3">
        <v>46</v>
      </c>
      <c r="B3">
        <v>28.7</v>
      </c>
      <c r="C3">
        <v>18.399999999999999</v>
      </c>
      <c r="D3">
        <v>28.6</v>
      </c>
      <c r="E3">
        <v>11.9</v>
      </c>
      <c r="F3">
        <v>20</v>
      </c>
      <c r="G3">
        <v>11.9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</row>
    <row r="4" spans="1:13" x14ac:dyDescent="0.3">
      <c r="A4">
        <v>9</v>
      </c>
      <c r="B4">
        <v>50.8</v>
      </c>
      <c r="C4">
        <v>4.5</v>
      </c>
      <c r="D4">
        <v>39.299999999999997</v>
      </c>
      <c r="E4">
        <v>5.9</v>
      </c>
      <c r="F4">
        <v>20.399999999999999</v>
      </c>
      <c r="G4">
        <v>11.3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</row>
    <row r="5" spans="1:13" x14ac:dyDescent="0.3">
      <c r="A5">
        <v>47</v>
      </c>
      <c r="B5">
        <v>29.8</v>
      </c>
      <c r="C5">
        <v>20.100000000000001</v>
      </c>
      <c r="D5">
        <v>24.6</v>
      </c>
      <c r="E5">
        <v>19.399999999999999</v>
      </c>
      <c r="F5">
        <v>20.7</v>
      </c>
      <c r="G5">
        <v>10.7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</row>
    <row r="6" spans="1:13" x14ac:dyDescent="0.3">
      <c r="A6">
        <v>26</v>
      </c>
      <c r="B6">
        <v>40.6</v>
      </c>
      <c r="C6">
        <v>5.3</v>
      </c>
      <c r="D6">
        <v>33.5</v>
      </c>
      <c r="E6">
        <v>3.7</v>
      </c>
      <c r="F6">
        <v>21.2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</row>
    <row r="7" spans="1:13" x14ac:dyDescent="0.3">
      <c r="A7">
        <v>7</v>
      </c>
      <c r="B7">
        <v>43.4</v>
      </c>
      <c r="C7">
        <v>5.0999999999999996</v>
      </c>
      <c r="D7">
        <v>37.700000000000003</v>
      </c>
      <c r="E7">
        <v>3.3</v>
      </c>
      <c r="F7">
        <v>25.2</v>
      </c>
      <c r="G7">
        <v>5.6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</row>
    <row r="8" spans="1:13" x14ac:dyDescent="0.3">
      <c r="A8">
        <v>71</v>
      </c>
      <c r="B8">
        <v>48.7</v>
      </c>
      <c r="C8" t="s">
        <v>25</v>
      </c>
      <c r="D8">
        <v>42.9</v>
      </c>
      <c r="E8">
        <v>3.5</v>
      </c>
      <c r="F8">
        <v>26.6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</row>
    <row r="9" spans="1:13" x14ac:dyDescent="0.3">
      <c r="A9">
        <v>12</v>
      </c>
      <c r="B9">
        <v>45.8</v>
      </c>
      <c r="C9">
        <v>3.7</v>
      </c>
      <c r="D9">
        <v>37.9</v>
      </c>
      <c r="E9">
        <v>2.8</v>
      </c>
      <c r="F9">
        <v>27.3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</row>
    <row r="10" spans="1:13" x14ac:dyDescent="0.3">
      <c r="A10">
        <v>64</v>
      </c>
      <c r="B10">
        <v>58.2</v>
      </c>
      <c r="C10">
        <v>0.6</v>
      </c>
      <c r="D10">
        <v>43</v>
      </c>
      <c r="E10">
        <v>0.4</v>
      </c>
      <c r="F10">
        <v>27.7</v>
      </c>
      <c r="G10">
        <v>1.4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</row>
    <row r="11" spans="1:13" x14ac:dyDescent="0.3">
      <c r="A11">
        <v>24</v>
      </c>
      <c r="B11">
        <v>46</v>
      </c>
      <c r="C11">
        <v>1.5</v>
      </c>
      <c r="D11">
        <v>31.2</v>
      </c>
      <c r="E11">
        <v>2.8</v>
      </c>
      <c r="F11">
        <v>28.3</v>
      </c>
      <c r="G11">
        <v>0.4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</row>
    <row r="12" spans="1:13" x14ac:dyDescent="0.3">
      <c r="A12">
        <v>16</v>
      </c>
      <c r="B12">
        <v>47.7</v>
      </c>
      <c r="C12">
        <v>2.9</v>
      </c>
      <c r="D12">
        <v>37.799999999999997</v>
      </c>
      <c r="E12">
        <v>2.7</v>
      </c>
      <c r="F12">
        <v>28.3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</row>
    <row r="13" spans="1:13" x14ac:dyDescent="0.3">
      <c r="A13">
        <v>25</v>
      </c>
      <c r="B13">
        <v>50.4</v>
      </c>
      <c r="C13">
        <v>-0.2</v>
      </c>
      <c r="D13">
        <v>39.299999999999997</v>
      </c>
      <c r="E13" t="s">
        <v>25</v>
      </c>
      <c r="F13">
        <v>28.3</v>
      </c>
      <c r="G13">
        <v>7.9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</row>
    <row r="14" spans="1:13" x14ac:dyDescent="0.3">
      <c r="A14">
        <v>3</v>
      </c>
      <c r="B14">
        <v>49.6</v>
      </c>
      <c r="C14">
        <v>3.1</v>
      </c>
      <c r="D14">
        <v>42.3</v>
      </c>
      <c r="E14" t="s">
        <v>25</v>
      </c>
      <c r="F14">
        <v>28.4</v>
      </c>
      <c r="G14">
        <v>7.1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</row>
    <row r="15" spans="1:13" x14ac:dyDescent="0.3">
      <c r="A15">
        <v>65</v>
      </c>
      <c r="B15">
        <v>53.1</v>
      </c>
      <c r="C15" t="s">
        <v>25</v>
      </c>
      <c r="D15">
        <v>43.5</v>
      </c>
      <c r="E15" t="s">
        <v>25</v>
      </c>
      <c r="F15">
        <v>28.7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</row>
    <row r="16" spans="1:13" x14ac:dyDescent="0.3">
      <c r="A16">
        <v>15</v>
      </c>
      <c r="B16">
        <v>51.2</v>
      </c>
      <c r="C16">
        <v>14.1</v>
      </c>
      <c r="D16">
        <v>37.4</v>
      </c>
      <c r="E16" t="s">
        <v>25</v>
      </c>
      <c r="F16">
        <v>30.4</v>
      </c>
      <c r="G16">
        <v>10.5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</row>
    <row r="17" spans="1:13" x14ac:dyDescent="0.3">
      <c r="A17">
        <v>28</v>
      </c>
      <c r="B17">
        <v>70.400000000000006</v>
      </c>
      <c r="C17" t="s">
        <v>25</v>
      </c>
      <c r="D17">
        <v>42.9</v>
      </c>
      <c r="E17">
        <v>6.6</v>
      </c>
      <c r="F17">
        <v>31.2</v>
      </c>
      <c r="G17">
        <v>11.9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</row>
    <row r="18" spans="1:13" x14ac:dyDescent="0.3">
      <c r="A18">
        <v>63</v>
      </c>
      <c r="B18">
        <v>49.4</v>
      </c>
      <c r="C18">
        <v>2.2999999999999998</v>
      </c>
      <c r="D18">
        <v>41.9</v>
      </c>
      <c r="E18">
        <v>1.4</v>
      </c>
      <c r="F18">
        <v>31.4</v>
      </c>
      <c r="G18">
        <v>0.9</v>
      </c>
      <c r="H18">
        <v>19.3</v>
      </c>
      <c r="I18">
        <v>3.4</v>
      </c>
      <c r="J18">
        <v>18.399999999999999</v>
      </c>
      <c r="K18" t="s">
        <v>25</v>
      </c>
      <c r="L18" t="s">
        <v>25</v>
      </c>
      <c r="M18" t="s">
        <v>25</v>
      </c>
    </row>
    <row r="19" spans="1:13" x14ac:dyDescent="0.3">
      <c r="A19">
        <v>66</v>
      </c>
      <c r="B19">
        <v>53.9</v>
      </c>
      <c r="C19">
        <v>1.3</v>
      </c>
      <c r="D19">
        <v>38.5</v>
      </c>
      <c r="E19">
        <v>-0.2</v>
      </c>
      <c r="F19">
        <v>31.4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</row>
    <row r="20" spans="1:13" x14ac:dyDescent="0.3">
      <c r="A20">
        <v>38</v>
      </c>
      <c r="B20">
        <v>44.8</v>
      </c>
      <c r="C20">
        <v>6.6</v>
      </c>
      <c r="D20">
        <v>40.299999999999997</v>
      </c>
      <c r="E20">
        <v>2.1</v>
      </c>
      <c r="F20">
        <v>31.5</v>
      </c>
      <c r="G20">
        <v>3.2</v>
      </c>
      <c r="H20">
        <v>25.7</v>
      </c>
      <c r="I20">
        <v>1.7</v>
      </c>
      <c r="J20" t="s">
        <v>25</v>
      </c>
      <c r="K20" t="s">
        <v>25</v>
      </c>
      <c r="L20" t="s">
        <v>25</v>
      </c>
      <c r="M20" t="s">
        <v>25</v>
      </c>
    </row>
    <row r="21" spans="1:13" x14ac:dyDescent="0.3">
      <c r="A21">
        <v>43</v>
      </c>
      <c r="B21">
        <v>51.8</v>
      </c>
      <c r="C21">
        <v>2.9</v>
      </c>
      <c r="D21">
        <v>42.8</v>
      </c>
      <c r="E21">
        <v>0.9</v>
      </c>
      <c r="F21">
        <v>31.6</v>
      </c>
      <c r="G21">
        <v>1.8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</row>
    <row r="22" spans="1:13" x14ac:dyDescent="0.3">
      <c r="A22">
        <v>34</v>
      </c>
      <c r="B22">
        <v>47.6</v>
      </c>
      <c r="C22">
        <v>4.5999999999999996</v>
      </c>
      <c r="D22">
        <v>37.6</v>
      </c>
      <c r="E22">
        <v>6.3</v>
      </c>
      <c r="F22">
        <v>32</v>
      </c>
      <c r="G22">
        <v>3.1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</row>
    <row r="23" spans="1:13" x14ac:dyDescent="0.3">
      <c r="A23">
        <v>49</v>
      </c>
      <c r="B23">
        <v>58.8</v>
      </c>
      <c r="C23">
        <v>2.2000000000000002</v>
      </c>
      <c r="D23">
        <v>44</v>
      </c>
      <c r="E23">
        <v>3.3</v>
      </c>
      <c r="F23">
        <v>32.1</v>
      </c>
      <c r="G23">
        <v>1.5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</row>
    <row r="24" spans="1:13" x14ac:dyDescent="0.3">
      <c r="A24">
        <v>10</v>
      </c>
      <c r="B24">
        <v>54.9</v>
      </c>
      <c r="C24">
        <v>0.8</v>
      </c>
      <c r="D24">
        <v>41.4</v>
      </c>
      <c r="E24">
        <v>1.1000000000000001</v>
      </c>
      <c r="F24">
        <v>32.299999999999997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</row>
    <row r="25" spans="1:13" x14ac:dyDescent="0.3">
      <c r="A25">
        <v>30</v>
      </c>
      <c r="B25">
        <v>47.2</v>
      </c>
      <c r="C25">
        <v>1.6</v>
      </c>
      <c r="D25">
        <v>37.9</v>
      </c>
      <c r="E25">
        <v>1.7</v>
      </c>
      <c r="F25">
        <v>32.4</v>
      </c>
      <c r="G25">
        <v>-0.2</v>
      </c>
      <c r="H25">
        <v>21.2</v>
      </c>
      <c r="I25">
        <v>1</v>
      </c>
      <c r="J25" t="s">
        <v>25</v>
      </c>
      <c r="K25" t="s">
        <v>25</v>
      </c>
      <c r="L25" t="s">
        <v>25</v>
      </c>
      <c r="M25" t="s">
        <v>25</v>
      </c>
    </row>
    <row r="26" spans="1:13" x14ac:dyDescent="0.3">
      <c r="A26">
        <v>70</v>
      </c>
      <c r="B26">
        <v>54.4</v>
      </c>
      <c r="C26">
        <v>2.6</v>
      </c>
      <c r="D26">
        <v>41.6</v>
      </c>
      <c r="E26">
        <v>1.5</v>
      </c>
      <c r="F26">
        <v>32.4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</row>
    <row r="27" spans="1:13" x14ac:dyDescent="0.3">
      <c r="A27">
        <v>11</v>
      </c>
      <c r="B27">
        <v>58.1</v>
      </c>
      <c r="C27" t="s">
        <v>25</v>
      </c>
      <c r="D27">
        <v>40.6</v>
      </c>
      <c r="E27">
        <v>7.5</v>
      </c>
      <c r="F27">
        <v>32.5</v>
      </c>
      <c r="G27">
        <v>8.5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</row>
    <row r="28" spans="1:13" x14ac:dyDescent="0.3">
      <c r="A28">
        <v>50</v>
      </c>
      <c r="B28">
        <v>58.4</v>
      </c>
      <c r="C28">
        <v>1.7</v>
      </c>
      <c r="D28">
        <v>40.9</v>
      </c>
      <c r="E28">
        <v>1.9</v>
      </c>
      <c r="F28">
        <v>33.1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</row>
    <row r="29" spans="1:13" x14ac:dyDescent="0.3">
      <c r="A29">
        <v>41</v>
      </c>
      <c r="B29">
        <v>59.2</v>
      </c>
      <c r="C29">
        <v>4</v>
      </c>
      <c r="D29">
        <v>43.2</v>
      </c>
      <c r="E29">
        <v>2.5</v>
      </c>
      <c r="F29">
        <v>33.1</v>
      </c>
      <c r="G29">
        <v>0.3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</row>
    <row r="30" spans="1:13" x14ac:dyDescent="0.3">
      <c r="A30">
        <v>60</v>
      </c>
      <c r="B30">
        <v>53.4</v>
      </c>
      <c r="C30">
        <v>0.6</v>
      </c>
      <c r="D30">
        <v>44.7</v>
      </c>
      <c r="E30">
        <v>0.4</v>
      </c>
      <c r="F30">
        <v>33.1</v>
      </c>
      <c r="G30">
        <v>0.3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</row>
    <row r="31" spans="1:13" x14ac:dyDescent="0.3">
      <c r="A31">
        <v>5</v>
      </c>
      <c r="B31">
        <v>53.8</v>
      </c>
      <c r="C31">
        <v>0.5</v>
      </c>
      <c r="D31">
        <v>43</v>
      </c>
      <c r="E31">
        <v>0.6</v>
      </c>
      <c r="F31">
        <v>33.299999999999997</v>
      </c>
      <c r="G31">
        <v>0.6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</row>
    <row r="32" spans="1:13" x14ac:dyDescent="0.3">
      <c r="A32">
        <v>62</v>
      </c>
      <c r="B32">
        <v>56.7</v>
      </c>
      <c r="C32">
        <v>1.8</v>
      </c>
      <c r="D32">
        <v>46.8</v>
      </c>
      <c r="E32">
        <v>1.2</v>
      </c>
      <c r="F32">
        <v>33.4</v>
      </c>
      <c r="G32" t="s">
        <v>25</v>
      </c>
      <c r="H32">
        <v>25.5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</row>
    <row r="33" spans="1:13" x14ac:dyDescent="0.3">
      <c r="A33">
        <v>52</v>
      </c>
      <c r="B33">
        <v>55.3</v>
      </c>
      <c r="C33">
        <v>0.9</v>
      </c>
      <c r="D33">
        <v>42.1</v>
      </c>
      <c r="E33">
        <v>1</v>
      </c>
      <c r="F33">
        <v>33.700000000000003</v>
      </c>
      <c r="G33">
        <v>0.7</v>
      </c>
      <c r="H33">
        <v>18.399999999999999</v>
      </c>
      <c r="I33">
        <v>3.6</v>
      </c>
      <c r="J33" t="s">
        <v>25</v>
      </c>
      <c r="K33" t="s">
        <v>25</v>
      </c>
      <c r="L33" t="s">
        <v>25</v>
      </c>
      <c r="M33" t="s">
        <v>25</v>
      </c>
    </row>
    <row r="34" spans="1:13" x14ac:dyDescent="0.3">
      <c r="A34">
        <v>18</v>
      </c>
      <c r="B34">
        <v>55.5</v>
      </c>
      <c r="C34">
        <v>1.4</v>
      </c>
      <c r="D34">
        <v>42.9</v>
      </c>
      <c r="E34">
        <v>1.7</v>
      </c>
      <c r="F34">
        <v>33.799999999999997</v>
      </c>
      <c r="G34">
        <v>1.2</v>
      </c>
      <c r="H34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</row>
    <row r="35" spans="1:13" x14ac:dyDescent="0.3">
      <c r="A35">
        <v>54</v>
      </c>
      <c r="B35">
        <v>55.5</v>
      </c>
      <c r="C35">
        <v>1.6</v>
      </c>
      <c r="D35">
        <v>45.2</v>
      </c>
      <c r="E35">
        <v>1.2</v>
      </c>
      <c r="F35">
        <v>34</v>
      </c>
      <c r="G35">
        <v>0.2</v>
      </c>
      <c r="H35">
        <v>19</v>
      </c>
      <c r="I35">
        <v>4.8</v>
      </c>
      <c r="J35" t="s">
        <v>25</v>
      </c>
      <c r="K35" t="s">
        <v>25</v>
      </c>
      <c r="L35" t="s">
        <v>25</v>
      </c>
      <c r="M35" t="s">
        <v>25</v>
      </c>
    </row>
    <row r="36" spans="1:13" x14ac:dyDescent="0.3">
      <c r="A36">
        <v>2</v>
      </c>
      <c r="B36">
        <v>58.3</v>
      </c>
      <c r="C36">
        <v>2.8</v>
      </c>
      <c r="D36">
        <v>43.2</v>
      </c>
      <c r="E36">
        <v>0.5</v>
      </c>
      <c r="F36">
        <v>34.200000000000003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</row>
    <row r="37" spans="1:13" x14ac:dyDescent="0.3">
      <c r="A37">
        <v>37</v>
      </c>
      <c r="B37">
        <v>48.7</v>
      </c>
      <c r="C37">
        <v>3.9</v>
      </c>
      <c r="D37">
        <v>39.1</v>
      </c>
      <c r="E37">
        <v>1.9</v>
      </c>
      <c r="F37">
        <v>34.5</v>
      </c>
      <c r="G37" t="s">
        <v>25</v>
      </c>
      <c r="H37">
        <v>28.9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</row>
    <row r="38" spans="1:13" x14ac:dyDescent="0.3">
      <c r="A38">
        <v>8</v>
      </c>
      <c r="B38">
        <v>58.7</v>
      </c>
      <c r="C38">
        <v>1.3</v>
      </c>
      <c r="D38">
        <v>44.7</v>
      </c>
      <c r="E38">
        <v>0.9</v>
      </c>
      <c r="F38">
        <v>34.5</v>
      </c>
      <c r="G38">
        <v>0.1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</row>
    <row r="39" spans="1:13" x14ac:dyDescent="0.3">
      <c r="A39">
        <v>4</v>
      </c>
      <c r="B39">
        <v>50</v>
      </c>
      <c r="C39">
        <v>1.3</v>
      </c>
      <c r="D39">
        <v>46.1</v>
      </c>
      <c r="E39" t="s">
        <v>25</v>
      </c>
      <c r="F39">
        <v>34.6</v>
      </c>
      <c r="G39" t="s">
        <v>25</v>
      </c>
      <c r="H39">
        <v>21.6</v>
      </c>
      <c r="I39">
        <v>17.100000000000001</v>
      </c>
      <c r="J39" t="s">
        <v>25</v>
      </c>
      <c r="K39" t="s">
        <v>25</v>
      </c>
      <c r="L39" t="s">
        <v>25</v>
      </c>
      <c r="M39" t="s">
        <v>25</v>
      </c>
    </row>
    <row r="40" spans="1:13" x14ac:dyDescent="0.3">
      <c r="A40">
        <v>21</v>
      </c>
      <c r="B40">
        <v>53.2</v>
      </c>
      <c r="C40">
        <v>1.1000000000000001</v>
      </c>
      <c r="D40">
        <v>41.4</v>
      </c>
      <c r="E40">
        <v>0.1</v>
      </c>
      <c r="F40">
        <v>34.6</v>
      </c>
      <c r="G40">
        <v>1.6</v>
      </c>
      <c r="H40">
        <v>30.5</v>
      </c>
      <c r="I40">
        <v>0.3</v>
      </c>
      <c r="J40" t="s">
        <v>25</v>
      </c>
      <c r="K40" t="s">
        <v>25</v>
      </c>
      <c r="L40" t="s">
        <v>25</v>
      </c>
      <c r="M40" t="s">
        <v>25</v>
      </c>
    </row>
    <row r="41" spans="1:13" x14ac:dyDescent="0.3">
      <c r="A41">
        <v>19</v>
      </c>
      <c r="B41">
        <v>52.6</v>
      </c>
      <c r="C41">
        <v>0.4</v>
      </c>
      <c r="D41">
        <v>45</v>
      </c>
      <c r="E41">
        <v>1.6</v>
      </c>
      <c r="F41">
        <v>34.700000000000003</v>
      </c>
      <c r="G41">
        <v>0.5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</row>
    <row r="42" spans="1:13" x14ac:dyDescent="0.3">
      <c r="A42">
        <v>14</v>
      </c>
      <c r="B42">
        <v>59.3</v>
      </c>
      <c r="C42">
        <v>1.2</v>
      </c>
      <c r="D42">
        <v>42</v>
      </c>
      <c r="E42">
        <v>1.1000000000000001</v>
      </c>
      <c r="F42">
        <v>34.799999999999997</v>
      </c>
      <c r="G42">
        <v>-0.4</v>
      </c>
      <c r="H42">
        <v>19</v>
      </c>
      <c r="I42">
        <v>2</v>
      </c>
      <c r="J42" t="s">
        <v>25</v>
      </c>
      <c r="K42" t="s">
        <v>25</v>
      </c>
      <c r="L42" t="s">
        <v>25</v>
      </c>
      <c r="M42" t="s">
        <v>25</v>
      </c>
    </row>
    <row r="43" spans="1:13" x14ac:dyDescent="0.3">
      <c r="A43">
        <v>17</v>
      </c>
      <c r="B43">
        <v>54.9</v>
      </c>
      <c r="C43">
        <v>-0.1</v>
      </c>
      <c r="D43">
        <v>41.7</v>
      </c>
      <c r="E43">
        <v>3</v>
      </c>
      <c r="F43">
        <v>34.9</v>
      </c>
      <c r="G43">
        <v>1.9</v>
      </c>
      <c r="H43">
        <v>30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</row>
    <row r="44" spans="1:13" x14ac:dyDescent="0.3">
      <c r="A44">
        <v>1</v>
      </c>
      <c r="B44">
        <v>57.5</v>
      </c>
      <c r="C44">
        <v>-1.5</v>
      </c>
      <c r="D44">
        <v>39.799999999999997</v>
      </c>
      <c r="E44">
        <v>0.8</v>
      </c>
      <c r="F44">
        <v>35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</row>
    <row r="45" spans="1:13" x14ac:dyDescent="0.3">
      <c r="A45">
        <v>69</v>
      </c>
      <c r="B45">
        <v>57.4</v>
      </c>
      <c r="C45">
        <v>2.2000000000000002</v>
      </c>
      <c r="D45">
        <v>45.2</v>
      </c>
      <c r="E45">
        <v>0.2</v>
      </c>
      <c r="F45">
        <v>35.299999999999997</v>
      </c>
      <c r="G45" t="s">
        <v>25</v>
      </c>
      <c r="H45">
        <v>31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</row>
    <row r="46" spans="1:13" x14ac:dyDescent="0.3">
      <c r="A46">
        <v>36</v>
      </c>
      <c r="B46">
        <v>56</v>
      </c>
      <c r="C46">
        <v>0.5</v>
      </c>
      <c r="D46">
        <v>47.9</v>
      </c>
      <c r="E46">
        <v>2.1</v>
      </c>
      <c r="F46">
        <v>36</v>
      </c>
      <c r="G46">
        <v>0.6</v>
      </c>
      <c r="H46">
        <v>27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</row>
    <row r="47" spans="1:13" x14ac:dyDescent="0.3">
      <c r="A47">
        <v>40</v>
      </c>
      <c r="B47">
        <v>54.9</v>
      </c>
      <c r="C47">
        <v>1.6</v>
      </c>
      <c r="D47">
        <v>43.8</v>
      </c>
      <c r="E47">
        <v>-0.3</v>
      </c>
      <c r="F47">
        <v>36.1</v>
      </c>
      <c r="G47">
        <v>0.5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</row>
    <row r="48" spans="1:13" x14ac:dyDescent="0.3">
      <c r="A48">
        <v>33</v>
      </c>
      <c r="B48">
        <v>52.6</v>
      </c>
      <c r="C48">
        <v>2.1</v>
      </c>
      <c r="D48">
        <v>44.1</v>
      </c>
      <c r="E48">
        <v>0.9</v>
      </c>
      <c r="F48">
        <v>36.1</v>
      </c>
      <c r="G48">
        <v>1.1000000000000001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</row>
    <row r="49" spans="1:13" x14ac:dyDescent="0.3">
      <c r="A49">
        <v>42</v>
      </c>
      <c r="B49">
        <v>57.7</v>
      </c>
      <c r="C49">
        <v>1.5</v>
      </c>
      <c r="D49">
        <v>47.4</v>
      </c>
      <c r="E49">
        <v>3.2</v>
      </c>
      <c r="F49">
        <v>36.200000000000003</v>
      </c>
      <c r="G49">
        <v>2.1</v>
      </c>
      <c r="H49">
        <v>29.7</v>
      </c>
      <c r="I49">
        <v>3.2</v>
      </c>
      <c r="J49" t="s">
        <v>25</v>
      </c>
      <c r="K49" t="s">
        <v>25</v>
      </c>
      <c r="L49" t="s">
        <v>25</v>
      </c>
      <c r="M49" t="s">
        <v>25</v>
      </c>
    </row>
    <row r="50" spans="1:13" x14ac:dyDescent="0.3">
      <c r="A50">
        <v>39</v>
      </c>
      <c r="B50">
        <v>57.6</v>
      </c>
      <c r="C50">
        <v>3</v>
      </c>
      <c r="D50">
        <v>50</v>
      </c>
      <c r="E50">
        <v>3</v>
      </c>
      <c r="F50">
        <v>36.4</v>
      </c>
      <c r="G50">
        <v>-0.3</v>
      </c>
      <c r="H50">
        <v>26.9</v>
      </c>
      <c r="I50">
        <v>0.2</v>
      </c>
      <c r="J50">
        <v>18.5</v>
      </c>
      <c r="K50" t="s">
        <v>25</v>
      </c>
      <c r="L50" t="s">
        <v>25</v>
      </c>
      <c r="M50" t="s">
        <v>25</v>
      </c>
    </row>
    <row r="51" spans="1:13" x14ac:dyDescent="0.3">
      <c r="A51">
        <v>55</v>
      </c>
      <c r="B51">
        <v>56.7</v>
      </c>
      <c r="C51">
        <v>0.7</v>
      </c>
      <c r="D51">
        <v>47.8</v>
      </c>
      <c r="E51">
        <v>0.7</v>
      </c>
      <c r="F51">
        <v>36.700000000000003</v>
      </c>
      <c r="G51">
        <v>0.1</v>
      </c>
      <c r="H51">
        <v>26.3</v>
      </c>
      <c r="I51">
        <v>-0.4</v>
      </c>
      <c r="J51" t="s">
        <v>25</v>
      </c>
      <c r="K51" t="s">
        <v>25</v>
      </c>
      <c r="L51" t="s">
        <v>25</v>
      </c>
      <c r="M51" t="s">
        <v>25</v>
      </c>
    </row>
    <row r="52" spans="1:13" x14ac:dyDescent="0.3">
      <c r="A52">
        <v>48</v>
      </c>
      <c r="B52">
        <v>60.7</v>
      </c>
      <c r="C52">
        <v>1.9</v>
      </c>
      <c r="D52">
        <v>44.6</v>
      </c>
      <c r="E52">
        <v>0.1</v>
      </c>
      <c r="F52">
        <v>37.1</v>
      </c>
      <c r="G52">
        <v>1.2</v>
      </c>
      <c r="H52">
        <v>22.7</v>
      </c>
      <c r="I52">
        <v>5.0999999999999996</v>
      </c>
      <c r="J52" t="s">
        <v>25</v>
      </c>
      <c r="K52" t="s">
        <v>25</v>
      </c>
      <c r="L52" t="s">
        <v>25</v>
      </c>
      <c r="M52" t="s">
        <v>25</v>
      </c>
    </row>
    <row r="53" spans="1:13" x14ac:dyDescent="0.3">
      <c r="A53">
        <v>59</v>
      </c>
      <c r="B53">
        <v>65.099999999999994</v>
      </c>
      <c r="C53">
        <v>1</v>
      </c>
      <c r="D53">
        <v>50.4</v>
      </c>
      <c r="E53">
        <v>3.1</v>
      </c>
      <c r="F53">
        <v>37.200000000000003</v>
      </c>
      <c r="G53">
        <v>4.3</v>
      </c>
      <c r="H53">
        <v>30.4</v>
      </c>
      <c r="I53">
        <v>3.4</v>
      </c>
      <c r="J53">
        <v>21.1</v>
      </c>
      <c r="K53">
        <v>5</v>
      </c>
      <c r="L53" t="s">
        <v>25</v>
      </c>
      <c r="M53" t="s">
        <v>25</v>
      </c>
    </row>
    <row r="54" spans="1:13" x14ac:dyDescent="0.3">
      <c r="A54">
        <v>13</v>
      </c>
      <c r="B54">
        <v>60.6</v>
      </c>
      <c r="C54">
        <v>1.2</v>
      </c>
      <c r="D54">
        <v>47.6</v>
      </c>
      <c r="E54">
        <v>-1.5</v>
      </c>
      <c r="F54">
        <v>37.200000000000003</v>
      </c>
      <c r="G54">
        <v>0.7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</row>
    <row r="55" spans="1:13" x14ac:dyDescent="0.3">
      <c r="A55">
        <v>20</v>
      </c>
      <c r="B55">
        <v>59.4</v>
      </c>
      <c r="C55">
        <v>1.5</v>
      </c>
      <c r="D55">
        <v>47.7</v>
      </c>
      <c r="E55">
        <v>4.0999999999999996</v>
      </c>
      <c r="F55">
        <v>37.4</v>
      </c>
      <c r="G55">
        <v>2.4</v>
      </c>
      <c r="H55">
        <v>30.6</v>
      </c>
      <c r="I55">
        <v>0.5</v>
      </c>
      <c r="J55">
        <v>22.9</v>
      </c>
      <c r="K55">
        <v>7.9</v>
      </c>
      <c r="L55" t="s">
        <v>25</v>
      </c>
      <c r="M55" t="s">
        <v>25</v>
      </c>
    </row>
    <row r="56" spans="1:13" x14ac:dyDescent="0.3">
      <c r="A56">
        <v>29</v>
      </c>
      <c r="B56">
        <v>53.7</v>
      </c>
      <c r="C56">
        <v>1.4</v>
      </c>
      <c r="D56">
        <v>42.5</v>
      </c>
      <c r="E56">
        <v>0.6</v>
      </c>
      <c r="F56">
        <v>37.5</v>
      </c>
      <c r="G56">
        <v>0.3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</row>
    <row r="57" spans="1:13" x14ac:dyDescent="0.3">
      <c r="A57">
        <v>32</v>
      </c>
      <c r="B57">
        <v>54.6</v>
      </c>
      <c r="C57">
        <v>1.8</v>
      </c>
      <c r="D57">
        <v>42.5</v>
      </c>
      <c r="E57">
        <v>1.1000000000000001</v>
      </c>
      <c r="F57">
        <v>37.700000000000003</v>
      </c>
      <c r="G57" t="s">
        <v>25</v>
      </c>
      <c r="H57">
        <v>29.9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</row>
    <row r="58" spans="1:13" x14ac:dyDescent="0.3">
      <c r="A58">
        <v>56</v>
      </c>
      <c r="B58">
        <v>56.2</v>
      </c>
      <c r="C58">
        <v>1.6</v>
      </c>
      <c r="D58">
        <v>45.9</v>
      </c>
      <c r="E58">
        <v>2.8</v>
      </c>
      <c r="F58">
        <v>37.9</v>
      </c>
      <c r="G58">
        <v>0.3</v>
      </c>
      <c r="H58">
        <v>30.7</v>
      </c>
      <c r="I58">
        <v>1.2</v>
      </c>
      <c r="J58">
        <v>23.4</v>
      </c>
      <c r="K58">
        <v>0</v>
      </c>
      <c r="L58" t="s">
        <v>25</v>
      </c>
      <c r="M58" t="s">
        <v>25</v>
      </c>
    </row>
    <row r="59" spans="1:13" x14ac:dyDescent="0.3">
      <c r="A59">
        <v>57</v>
      </c>
      <c r="B59">
        <v>54.2</v>
      </c>
      <c r="C59">
        <v>2.8</v>
      </c>
      <c r="D59">
        <v>46.6</v>
      </c>
      <c r="E59">
        <v>1.7</v>
      </c>
      <c r="F59">
        <v>38.200000000000003</v>
      </c>
      <c r="G59">
        <v>0.8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</row>
    <row r="60" spans="1:13" x14ac:dyDescent="0.3">
      <c r="A60">
        <v>51</v>
      </c>
      <c r="B60">
        <v>56</v>
      </c>
      <c r="C60">
        <v>0.2</v>
      </c>
      <c r="D60">
        <v>47.5</v>
      </c>
      <c r="E60">
        <v>-0.5</v>
      </c>
      <c r="F60">
        <v>38.6</v>
      </c>
      <c r="G60">
        <v>0.2</v>
      </c>
      <c r="H60">
        <v>30.9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</row>
    <row r="61" spans="1:13" x14ac:dyDescent="0.3">
      <c r="A61">
        <v>61</v>
      </c>
      <c r="B61">
        <v>56.9</v>
      </c>
      <c r="C61">
        <v>0.8</v>
      </c>
      <c r="D61">
        <v>46</v>
      </c>
      <c r="E61">
        <v>0</v>
      </c>
      <c r="F61">
        <v>39.700000000000003</v>
      </c>
      <c r="G61" t="s">
        <v>25</v>
      </c>
      <c r="H61">
        <v>24.4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</row>
    <row r="62" spans="1:13" x14ac:dyDescent="0.3">
      <c r="A62">
        <v>45</v>
      </c>
      <c r="B62">
        <v>54</v>
      </c>
      <c r="C62">
        <v>0.3</v>
      </c>
      <c r="D62">
        <v>48.2</v>
      </c>
      <c r="E62">
        <v>0.6</v>
      </c>
      <c r="F62">
        <v>39.700000000000003</v>
      </c>
      <c r="G62">
        <v>2.2999999999999998</v>
      </c>
      <c r="H62">
        <v>30.7</v>
      </c>
      <c r="I62">
        <v>1.6</v>
      </c>
      <c r="J62">
        <v>21.6</v>
      </c>
      <c r="K62" t="s">
        <v>25</v>
      </c>
      <c r="L62" t="s">
        <v>25</v>
      </c>
      <c r="M62" t="s">
        <v>25</v>
      </c>
    </row>
    <row r="63" spans="1:13" x14ac:dyDescent="0.3">
      <c r="A63">
        <v>44</v>
      </c>
      <c r="B63">
        <v>52.7</v>
      </c>
      <c r="C63">
        <v>3</v>
      </c>
      <c r="D63">
        <v>45.4</v>
      </c>
      <c r="E63">
        <v>0.2</v>
      </c>
      <c r="F63">
        <v>40.5</v>
      </c>
      <c r="G63">
        <v>-0.2</v>
      </c>
      <c r="H63">
        <v>28.7</v>
      </c>
      <c r="I63">
        <v>-0.7</v>
      </c>
      <c r="J63" t="s">
        <v>25</v>
      </c>
      <c r="K63" t="s">
        <v>25</v>
      </c>
      <c r="L63" t="s">
        <v>25</v>
      </c>
      <c r="M63" t="s">
        <v>25</v>
      </c>
    </row>
    <row r="64" spans="1:13" x14ac:dyDescent="0.3">
      <c r="A64">
        <v>58</v>
      </c>
      <c r="B64">
        <v>59.4</v>
      </c>
      <c r="C64">
        <v>0.5</v>
      </c>
      <c r="D64">
        <v>53.1</v>
      </c>
      <c r="E64">
        <v>0.5</v>
      </c>
      <c r="F64">
        <v>40.5</v>
      </c>
      <c r="G64">
        <v>-0.6</v>
      </c>
      <c r="H64">
        <v>34.6</v>
      </c>
      <c r="I64">
        <v>0.3</v>
      </c>
      <c r="J64">
        <v>31.1</v>
      </c>
      <c r="K64">
        <v>0.2</v>
      </c>
      <c r="L64">
        <v>21.6</v>
      </c>
      <c r="M64" t="s">
        <v>25</v>
      </c>
    </row>
    <row r="65" spans="1:13" x14ac:dyDescent="0.3">
      <c r="A65">
        <v>53</v>
      </c>
      <c r="B65">
        <v>65</v>
      </c>
      <c r="C65">
        <v>1.1000000000000001</v>
      </c>
      <c r="D65">
        <v>49.7</v>
      </c>
      <c r="E65">
        <v>-1</v>
      </c>
      <c r="F65">
        <v>40.6</v>
      </c>
      <c r="G65">
        <v>0.2</v>
      </c>
      <c r="H65">
        <v>29.1</v>
      </c>
      <c r="I65">
        <v>-0.6</v>
      </c>
      <c r="J65" t="s">
        <v>25</v>
      </c>
      <c r="K65" t="s">
        <v>25</v>
      </c>
      <c r="L65" t="s">
        <v>25</v>
      </c>
      <c r="M65" t="s">
        <v>25</v>
      </c>
    </row>
    <row r="66" spans="1:13" x14ac:dyDescent="0.3">
      <c r="A66">
        <v>31</v>
      </c>
      <c r="B66">
        <v>54.2</v>
      </c>
      <c r="C66">
        <v>1.4</v>
      </c>
      <c r="D66">
        <v>44.3</v>
      </c>
      <c r="E66">
        <v>0.8</v>
      </c>
      <c r="F66">
        <v>41.5</v>
      </c>
      <c r="G66">
        <v>-0.4</v>
      </c>
      <c r="H66">
        <v>34.5</v>
      </c>
      <c r="I66" t="s">
        <v>25</v>
      </c>
      <c r="J66">
        <v>22.1</v>
      </c>
      <c r="K66">
        <v>4.8</v>
      </c>
      <c r="L66" t="s">
        <v>25</v>
      </c>
      <c r="M66" t="s">
        <v>25</v>
      </c>
    </row>
    <row r="67" spans="1:13" x14ac:dyDescent="0.3">
      <c r="A67">
        <v>67</v>
      </c>
      <c r="B67">
        <v>60.9</v>
      </c>
      <c r="C67">
        <v>1.9</v>
      </c>
      <c r="D67">
        <v>53.3</v>
      </c>
      <c r="E67">
        <v>0.7</v>
      </c>
      <c r="F67">
        <v>42.8</v>
      </c>
      <c r="G67">
        <v>0.2</v>
      </c>
      <c r="H67">
        <v>32</v>
      </c>
      <c r="I67">
        <v>-0.1</v>
      </c>
      <c r="J67">
        <v>25.8</v>
      </c>
      <c r="K67" t="s">
        <v>25</v>
      </c>
      <c r="L67">
        <v>20.399999999999999</v>
      </c>
      <c r="M67" t="s">
        <v>25</v>
      </c>
    </row>
    <row r="68" spans="1:13" x14ac:dyDescent="0.3">
      <c r="A68">
        <v>27</v>
      </c>
      <c r="B68">
        <v>31.1</v>
      </c>
      <c r="C68">
        <v>6.9</v>
      </c>
      <c r="D68">
        <v>18</v>
      </c>
      <c r="E68">
        <v>11.9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</row>
    <row r="69" spans="1:13" x14ac:dyDescent="0.3">
      <c r="A69">
        <v>35</v>
      </c>
      <c r="B69">
        <v>45.6</v>
      </c>
      <c r="C69">
        <v>8.5</v>
      </c>
      <c r="D69">
        <v>22.3</v>
      </c>
      <c r="E69">
        <v>14.1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</row>
    <row r="70" spans="1:13" x14ac:dyDescent="0.3">
      <c r="A70">
        <v>68</v>
      </c>
      <c r="B70">
        <v>30.6</v>
      </c>
      <c r="C70" t="s">
        <v>25</v>
      </c>
      <c r="D70">
        <v>29</v>
      </c>
      <c r="E70">
        <v>15.7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</row>
    <row r="71" spans="1:13" x14ac:dyDescent="0.3">
      <c r="A71">
        <v>23</v>
      </c>
      <c r="B71">
        <v>43.6</v>
      </c>
      <c r="C71">
        <v>4.4000000000000004</v>
      </c>
      <c r="D71">
        <v>36.5</v>
      </c>
      <c r="E71">
        <v>5.2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</row>
    <row r="72" spans="1:13" x14ac:dyDescent="0.3">
      <c r="A72">
        <v>6</v>
      </c>
      <c r="B72">
        <v>49.7</v>
      </c>
      <c r="C72" t="s">
        <v>25</v>
      </c>
      <c r="D72">
        <v>41.5</v>
      </c>
      <c r="E72">
        <v>7.4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</row>
  </sheetData>
  <sortState ref="A2:M72">
    <sortCondition ref="F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2"/>
  <sheetViews>
    <sheetView topLeftCell="D1" workbookViewId="0">
      <selection activeCell="X25" sqref="X25"/>
    </sheetView>
  </sheetViews>
  <sheetFormatPr defaultRowHeight="13.5" x14ac:dyDescent="0.3"/>
  <sheetData>
    <row r="1" spans="1:37" ht="14" thickBot="1" x14ac:dyDescent="0.35">
      <c r="A1">
        <v>-1.5</v>
      </c>
      <c r="I1" t="s">
        <v>5</v>
      </c>
      <c r="J1" t="s">
        <v>7</v>
      </c>
      <c r="K1" s="5" t="s">
        <v>91</v>
      </c>
      <c r="AA1" t="s">
        <v>5</v>
      </c>
      <c r="AB1" t="s">
        <v>7</v>
      </c>
      <c r="AC1" s="5" t="s">
        <v>91</v>
      </c>
    </row>
    <row r="2" spans="1:37" x14ac:dyDescent="0.3">
      <c r="A2">
        <v>-1</v>
      </c>
      <c r="C2" s="4" t="s">
        <v>90</v>
      </c>
      <c r="D2" s="4"/>
      <c r="F2" s="4" t="s">
        <v>89</v>
      </c>
      <c r="G2" s="4"/>
      <c r="I2">
        <v>36.299999999999997</v>
      </c>
      <c r="J2">
        <v>2.6</v>
      </c>
      <c r="K2" s="16">
        <f>-0.33*I2+11.15+8.12+(5.85/2)</f>
        <v>10.216000000000001</v>
      </c>
      <c r="AA2">
        <v>36.299999999999997</v>
      </c>
      <c r="AB2">
        <v>2.6</v>
      </c>
      <c r="AC2" s="16">
        <f>-0.33*AA2+11.15+8.12+(5.85/2)</f>
        <v>10.216000000000001</v>
      </c>
    </row>
    <row r="3" spans="1:37" x14ac:dyDescent="0.3">
      <c r="A3">
        <v>-0.5</v>
      </c>
      <c r="C3" s="1"/>
      <c r="D3" s="1"/>
      <c r="F3" s="1"/>
      <c r="G3" s="1"/>
      <c r="I3">
        <v>28.6</v>
      </c>
      <c r="J3">
        <v>11.9</v>
      </c>
      <c r="K3" s="16">
        <f t="shared" ref="K3:K66" si="0">-0.33*I3+11.15+8.12+(5.85/2)</f>
        <v>12.756999999999998</v>
      </c>
      <c r="AA3">
        <v>28.6</v>
      </c>
      <c r="AB3">
        <v>11.9</v>
      </c>
      <c r="AC3" s="16">
        <f t="shared" ref="AC3:AC12" si="1">-0.33*AA3+11.15+8.12+(5.85/2)</f>
        <v>12.756999999999998</v>
      </c>
      <c r="AF3" t="s">
        <v>94</v>
      </c>
      <c r="AH3" s="5" t="s">
        <v>116</v>
      </c>
    </row>
    <row r="4" spans="1:37" ht="14" thickBot="1" x14ac:dyDescent="0.35">
      <c r="A4">
        <v>-0.3</v>
      </c>
      <c r="C4" s="1" t="s">
        <v>26</v>
      </c>
      <c r="D4" s="1">
        <v>3.1557377049180326</v>
      </c>
      <c r="F4" s="1" t="s">
        <v>26</v>
      </c>
      <c r="G4" s="1">
        <v>2.8636363636363638</v>
      </c>
      <c r="I4">
        <v>39.299999999999997</v>
      </c>
      <c r="J4">
        <v>5.9</v>
      </c>
      <c r="K4" s="16">
        <f t="shared" si="0"/>
        <v>9.2259999999999991</v>
      </c>
      <c r="AA4">
        <v>39.299999999999997</v>
      </c>
      <c r="AB4">
        <v>5.9</v>
      </c>
      <c r="AC4" s="16">
        <f t="shared" si="1"/>
        <v>9.2259999999999991</v>
      </c>
    </row>
    <row r="5" spans="1:37" x14ac:dyDescent="0.3">
      <c r="A5">
        <v>-0.2</v>
      </c>
      <c r="C5" s="1" t="s">
        <v>27</v>
      </c>
      <c r="D5" s="1">
        <v>0.50823558814884762</v>
      </c>
      <c r="F5" s="1" t="s">
        <v>27</v>
      </c>
      <c r="G5" s="1">
        <v>0.4864774500298879</v>
      </c>
      <c r="I5">
        <v>24.6</v>
      </c>
      <c r="J5">
        <v>19.399999999999999</v>
      </c>
      <c r="K5" s="16">
        <f t="shared" si="0"/>
        <v>14.076999999999998</v>
      </c>
      <c r="AA5">
        <v>24.6</v>
      </c>
      <c r="AB5">
        <v>19.399999999999999</v>
      </c>
      <c r="AC5" s="16">
        <f t="shared" si="1"/>
        <v>14.076999999999998</v>
      </c>
      <c r="AF5" s="4" t="s">
        <v>95</v>
      </c>
      <c r="AG5" s="4"/>
    </row>
    <row r="6" spans="1:37" x14ac:dyDescent="0.3">
      <c r="A6">
        <v>0</v>
      </c>
      <c r="C6" s="1" t="s">
        <v>28</v>
      </c>
      <c r="D6" s="1">
        <v>1.7</v>
      </c>
      <c r="F6" s="1" t="s">
        <v>28</v>
      </c>
      <c r="G6" s="1">
        <v>1.65</v>
      </c>
      <c r="I6">
        <v>33.5</v>
      </c>
      <c r="J6">
        <v>3.7</v>
      </c>
      <c r="K6" s="16">
        <f t="shared" si="0"/>
        <v>11.14</v>
      </c>
      <c r="AA6">
        <v>33.5</v>
      </c>
      <c r="AB6">
        <v>3.7</v>
      </c>
      <c r="AC6" s="16">
        <f t="shared" si="1"/>
        <v>11.14</v>
      </c>
      <c r="AF6" s="1" t="s">
        <v>96</v>
      </c>
      <c r="AG6" s="1">
        <v>0.75037465463215336</v>
      </c>
    </row>
    <row r="7" spans="1:37" x14ac:dyDescent="0.3">
      <c r="A7">
        <v>0.1</v>
      </c>
      <c r="C7" s="1" t="s">
        <v>29</v>
      </c>
      <c r="D7" s="1">
        <v>0.6</v>
      </c>
      <c r="F7" s="1" t="s">
        <v>29</v>
      </c>
      <c r="G7" s="1">
        <v>0.6</v>
      </c>
      <c r="I7">
        <v>37.700000000000003</v>
      </c>
      <c r="J7">
        <v>3.3</v>
      </c>
      <c r="K7" s="16">
        <f t="shared" si="0"/>
        <v>9.7539999999999978</v>
      </c>
      <c r="AA7">
        <v>37.700000000000003</v>
      </c>
      <c r="AB7">
        <v>3.3</v>
      </c>
      <c r="AC7" s="16">
        <f t="shared" si="1"/>
        <v>9.7539999999999978</v>
      </c>
      <c r="AF7" s="1" t="s">
        <v>97</v>
      </c>
      <c r="AG7" s="1">
        <v>0.56306212231432351</v>
      </c>
    </row>
    <row r="8" spans="1:37" x14ac:dyDescent="0.3">
      <c r="A8">
        <v>0.1</v>
      </c>
      <c r="C8" s="1" t="s">
        <v>30</v>
      </c>
      <c r="D8" s="1">
        <v>3.969446837623765</v>
      </c>
      <c r="F8" s="1" t="s">
        <v>30</v>
      </c>
      <c r="G8" s="1">
        <v>3.9521614870321811</v>
      </c>
      <c r="I8">
        <v>42.9</v>
      </c>
      <c r="J8">
        <v>3.5</v>
      </c>
      <c r="K8" s="16">
        <f t="shared" si="0"/>
        <v>8.0380000000000003</v>
      </c>
      <c r="AA8">
        <v>42.9</v>
      </c>
      <c r="AB8">
        <v>3.5</v>
      </c>
      <c r="AC8" s="16">
        <f t="shared" si="1"/>
        <v>8.0380000000000003</v>
      </c>
      <c r="AF8" s="1" t="s">
        <v>98</v>
      </c>
      <c r="AG8" s="1">
        <v>0.55623496797548477</v>
      </c>
    </row>
    <row r="9" spans="1:37" x14ac:dyDescent="0.3">
      <c r="A9">
        <v>0.2</v>
      </c>
      <c r="C9" s="1" t="s">
        <v>31</v>
      </c>
      <c r="D9" s="1">
        <v>15.75650819672131</v>
      </c>
      <c r="F9" s="1" t="s">
        <v>31</v>
      </c>
      <c r="G9" s="1">
        <v>15.619580419580419</v>
      </c>
      <c r="I9">
        <v>37.9</v>
      </c>
      <c r="J9">
        <v>2.8</v>
      </c>
      <c r="K9" s="16">
        <f t="shared" si="0"/>
        <v>9.6879999999999988</v>
      </c>
      <c r="AA9">
        <v>37.9</v>
      </c>
      <c r="AB9">
        <v>2.8</v>
      </c>
      <c r="AC9" s="16">
        <f t="shared" si="1"/>
        <v>9.6879999999999988</v>
      </c>
      <c r="AF9" s="1" t="s">
        <v>27</v>
      </c>
      <c r="AG9" s="1">
        <v>1.4507409882055597</v>
      </c>
    </row>
    <row r="10" spans="1:37" ht="14" thickBot="1" x14ac:dyDescent="0.35">
      <c r="A10">
        <v>0.2</v>
      </c>
      <c r="C10" s="1" t="s">
        <v>32</v>
      </c>
      <c r="D10" s="1">
        <v>5.9368694416048431</v>
      </c>
      <c r="F10" s="1" t="s">
        <v>32</v>
      </c>
      <c r="G10" s="1">
        <v>6.1333293460586438</v>
      </c>
      <c r="I10">
        <v>43</v>
      </c>
      <c r="J10">
        <v>0.4</v>
      </c>
      <c r="K10" s="16">
        <f t="shared" si="0"/>
        <v>8.004999999999999</v>
      </c>
      <c r="AA10">
        <v>43</v>
      </c>
      <c r="AB10">
        <v>0.4</v>
      </c>
      <c r="AC10" s="16">
        <f t="shared" si="1"/>
        <v>8.004999999999999</v>
      </c>
      <c r="AF10" s="2" t="s">
        <v>99</v>
      </c>
      <c r="AG10" s="2">
        <v>66</v>
      </c>
    </row>
    <row r="11" spans="1:37" x14ac:dyDescent="0.3">
      <c r="A11">
        <v>0.4</v>
      </c>
      <c r="C11" s="1" t="s">
        <v>33</v>
      </c>
      <c r="D11" s="1">
        <v>2.4047549837640019</v>
      </c>
      <c r="F11" s="1" t="s">
        <v>33</v>
      </c>
      <c r="G11" s="1">
        <v>2.3950885039823127</v>
      </c>
      <c r="I11">
        <v>31.2</v>
      </c>
      <c r="J11">
        <v>2.8</v>
      </c>
      <c r="K11" s="16">
        <f t="shared" si="0"/>
        <v>11.899000000000001</v>
      </c>
      <c r="AA11">
        <v>31.2</v>
      </c>
      <c r="AB11">
        <v>2.8</v>
      </c>
      <c r="AC11" s="16">
        <f t="shared" si="1"/>
        <v>11.899000000000001</v>
      </c>
    </row>
    <row r="12" spans="1:37" ht="14" thickBot="1" x14ac:dyDescent="0.35">
      <c r="A12">
        <v>0.4</v>
      </c>
      <c r="C12" s="1" t="s">
        <v>34</v>
      </c>
      <c r="D12" s="1">
        <v>19.399999999999999</v>
      </c>
      <c r="F12" s="1" t="s">
        <v>34</v>
      </c>
      <c r="G12" s="1">
        <v>20.9</v>
      </c>
      <c r="I12">
        <v>37.799999999999997</v>
      </c>
      <c r="J12">
        <v>2.7</v>
      </c>
      <c r="K12" s="16">
        <f t="shared" si="0"/>
        <v>9.7210000000000001</v>
      </c>
      <c r="AA12">
        <v>37.799999999999997</v>
      </c>
      <c r="AB12">
        <v>2.7</v>
      </c>
      <c r="AC12" s="16">
        <f t="shared" si="1"/>
        <v>9.7210000000000001</v>
      </c>
      <c r="AF12" t="s">
        <v>100</v>
      </c>
    </row>
    <row r="13" spans="1:37" x14ac:dyDescent="0.3">
      <c r="A13">
        <v>0.5</v>
      </c>
      <c r="C13" s="1" t="s">
        <v>35</v>
      </c>
      <c r="D13" s="1">
        <v>0</v>
      </c>
      <c r="F13" s="1" t="s">
        <v>35</v>
      </c>
      <c r="G13" s="1">
        <v>-1.5</v>
      </c>
      <c r="I13">
        <v>39.299999999999997</v>
      </c>
      <c r="K13" s="16">
        <f t="shared" si="0"/>
        <v>9.2259999999999991</v>
      </c>
      <c r="AA13">
        <v>42.9</v>
      </c>
      <c r="AB13">
        <v>6.6</v>
      </c>
      <c r="AC13" s="16">
        <f t="shared" ref="AC13:AC44" si="2">-0.33*AA13+11.15+8.12+(5.85/2)</f>
        <v>8.0380000000000003</v>
      </c>
      <c r="AF13" s="3"/>
      <c r="AG13" s="3" t="s">
        <v>104</v>
      </c>
      <c r="AH13" s="3" t="s">
        <v>105</v>
      </c>
      <c r="AI13" s="3" t="s">
        <v>106</v>
      </c>
      <c r="AJ13" s="3" t="s">
        <v>79</v>
      </c>
      <c r="AK13" s="3" t="s">
        <v>107</v>
      </c>
    </row>
    <row r="14" spans="1:37" x14ac:dyDescent="0.3">
      <c r="A14">
        <v>0.5</v>
      </c>
      <c r="C14" s="1" t="s">
        <v>36</v>
      </c>
      <c r="D14" s="1">
        <v>19.399999999999999</v>
      </c>
      <c r="F14" s="1" t="s">
        <v>36</v>
      </c>
      <c r="G14" s="1">
        <v>19.399999999999999</v>
      </c>
      <c r="I14">
        <v>42.3</v>
      </c>
      <c r="K14" s="16">
        <f t="shared" si="0"/>
        <v>8.2360000000000007</v>
      </c>
      <c r="AA14">
        <v>41.9</v>
      </c>
      <c r="AB14">
        <v>1.4</v>
      </c>
      <c r="AC14" s="16">
        <f t="shared" si="2"/>
        <v>8.3679999999999986</v>
      </c>
      <c r="AF14" s="1" t="s">
        <v>101</v>
      </c>
      <c r="AG14" s="1">
        <v>1</v>
      </c>
      <c r="AH14" s="1">
        <v>173.57866944898277</v>
      </c>
      <c r="AI14" s="1">
        <v>173.57866944898277</v>
      </c>
      <c r="AJ14" s="1">
        <v>82.473911437909706</v>
      </c>
      <c r="AK14" s="1">
        <v>4.0769648652418074E-13</v>
      </c>
    </row>
    <row r="15" spans="1:37" x14ac:dyDescent="0.3">
      <c r="A15">
        <v>0.6</v>
      </c>
      <c r="C15" s="1" t="s">
        <v>37</v>
      </c>
      <c r="D15" s="1">
        <v>192.5</v>
      </c>
      <c r="F15" s="1" t="s">
        <v>37</v>
      </c>
      <c r="G15" s="1">
        <v>189</v>
      </c>
      <c r="I15">
        <v>43.5</v>
      </c>
      <c r="K15" s="16">
        <f t="shared" si="0"/>
        <v>7.839999999999999</v>
      </c>
      <c r="AA15">
        <v>38.5</v>
      </c>
      <c r="AB15">
        <v>-0.2</v>
      </c>
      <c r="AC15" s="16">
        <f t="shared" si="2"/>
        <v>9.4899999999999984</v>
      </c>
      <c r="AF15" s="1" t="s">
        <v>102</v>
      </c>
      <c r="AG15" s="1">
        <v>64</v>
      </c>
      <c r="AH15" s="1">
        <v>134.69756255101723</v>
      </c>
      <c r="AI15" s="1">
        <v>2.1046494148596442</v>
      </c>
      <c r="AJ15" s="1"/>
      <c r="AK15" s="1"/>
    </row>
    <row r="16" spans="1:37" ht="14" thickBot="1" x14ac:dyDescent="0.35">
      <c r="A16">
        <v>0.6</v>
      </c>
      <c r="C16" s="2" t="s">
        <v>38</v>
      </c>
      <c r="D16" s="2">
        <v>61</v>
      </c>
      <c r="F16" s="2" t="s">
        <v>38</v>
      </c>
      <c r="G16" s="2">
        <v>66</v>
      </c>
      <c r="I16">
        <v>37.4</v>
      </c>
      <c r="K16" s="16">
        <f t="shared" si="0"/>
        <v>9.852999999999998</v>
      </c>
      <c r="AA16">
        <v>40.299999999999997</v>
      </c>
      <c r="AB16">
        <v>2.1</v>
      </c>
      <c r="AC16" s="16">
        <f t="shared" si="2"/>
        <v>8.8960000000000008</v>
      </c>
      <c r="AF16" s="2" t="s">
        <v>103</v>
      </c>
      <c r="AG16" s="2">
        <v>65</v>
      </c>
      <c r="AH16" s="2">
        <v>308.27623199999999</v>
      </c>
      <c r="AI16" s="2"/>
      <c r="AJ16" s="2"/>
      <c r="AK16" s="2"/>
    </row>
    <row r="17" spans="1:40" ht="14" thickBot="1" x14ac:dyDescent="0.35">
      <c r="A17">
        <v>0.6</v>
      </c>
      <c r="I17">
        <v>42.9</v>
      </c>
      <c r="J17">
        <v>6.6</v>
      </c>
      <c r="K17" s="16">
        <f t="shared" si="0"/>
        <v>8.0380000000000003</v>
      </c>
      <c r="AA17">
        <v>42.8</v>
      </c>
      <c r="AB17">
        <v>0.9</v>
      </c>
      <c r="AC17" s="16">
        <f t="shared" si="2"/>
        <v>8.070999999999998</v>
      </c>
    </row>
    <row r="18" spans="1:40" x14ac:dyDescent="0.3">
      <c r="A18">
        <v>0.7</v>
      </c>
      <c r="I18">
        <v>41.9</v>
      </c>
      <c r="J18">
        <v>1.4</v>
      </c>
      <c r="K18" s="16">
        <f t="shared" si="0"/>
        <v>8.3679999999999986</v>
      </c>
      <c r="AA18">
        <v>37.6</v>
      </c>
      <c r="AB18">
        <v>6.3</v>
      </c>
      <c r="AC18" s="16">
        <f t="shared" si="2"/>
        <v>9.786999999999999</v>
      </c>
      <c r="AF18" s="3"/>
      <c r="AG18" s="3" t="s">
        <v>108</v>
      </c>
      <c r="AH18" s="3" t="s">
        <v>27</v>
      </c>
      <c r="AI18" s="3" t="s">
        <v>109</v>
      </c>
      <c r="AJ18" s="3" t="s">
        <v>110</v>
      </c>
      <c r="AK18" s="3" t="s">
        <v>111</v>
      </c>
      <c r="AL18" s="3" t="s">
        <v>112</v>
      </c>
      <c r="AM18" s="3" t="s">
        <v>113</v>
      </c>
      <c r="AN18" s="3" t="s">
        <v>114</v>
      </c>
    </row>
    <row r="19" spans="1:40" x14ac:dyDescent="0.3">
      <c r="A19">
        <v>0.7</v>
      </c>
      <c r="I19">
        <v>38.5</v>
      </c>
      <c r="J19">
        <v>-0.2</v>
      </c>
      <c r="K19" s="16">
        <f t="shared" si="0"/>
        <v>9.4899999999999984</v>
      </c>
      <c r="AA19">
        <v>44</v>
      </c>
      <c r="AB19">
        <v>3.3</v>
      </c>
      <c r="AC19" s="16">
        <f t="shared" si="2"/>
        <v>7.674999999999998</v>
      </c>
      <c r="AF19" s="1" t="s">
        <v>62</v>
      </c>
      <c r="AG19" s="1">
        <v>7.2269373388252136</v>
      </c>
      <c r="AH19" s="1">
        <v>0.22110629949319982</v>
      </c>
      <c r="AI19" s="1">
        <v>32.685352499635499</v>
      </c>
      <c r="AJ19" s="1">
        <v>1.2022339963180745E-41</v>
      </c>
      <c r="AK19" s="1">
        <v>6.7852267275711986</v>
      </c>
      <c r="AL19" s="1">
        <v>7.6686479500792286</v>
      </c>
      <c r="AM19" s="1">
        <v>6.7852267275711986</v>
      </c>
      <c r="AN19" s="1">
        <v>7.6686479500792286</v>
      </c>
    </row>
    <row r="20" spans="1:40" ht="14" thickBot="1" x14ac:dyDescent="0.35">
      <c r="A20">
        <v>0.8</v>
      </c>
      <c r="I20">
        <v>40.299999999999997</v>
      </c>
      <c r="J20">
        <v>2.1</v>
      </c>
      <c r="K20" s="16">
        <f t="shared" si="0"/>
        <v>8.8960000000000008</v>
      </c>
      <c r="AA20">
        <v>41.4</v>
      </c>
      <c r="AB20">
        <v>1.1000000000000001</v>
      </c>
      <c r="AC20" s="16">
        <f t="shared" si="2"/>
        <v>8.5329999999999977</v>
      </c>
      <c r="AF20" s="2" t="s">
        <v>115</v>
      </c>
      <c r="AG20" s="2">
        <v>0.41348219914040091</v>
      </c>
      <c r="AH20" s="2">
        <v>4.553009132349186E-2</v>
      </c>
      <c r="AI20" s="2">
        <v>9.0815148206623348</v>
      </c>
      <c r="AJ20" s="2">
        <v>4.0769648652418654E-13</v>
      </c>
      <c r="AK20" s="2">
        <v>0.32252538553966842</v>
      </c>
      <c r="AL20" s="2">
        <v>0.50443901274113345</v>
      </c>
      <c r="AM20" s="2">
        <v>0.32252538553966842</v>
      </c>
      <c r="AN20" s="2">
        <v>0.50443901274113345</v>
      </c>
    </row>
    <row r="21" spans="1:40" x14ac:dyDescent="0.3">
      <c r="A21">
        <v>0.8</v>
      </c>
      <c r="I21">
        <v>42.8</v>
      </c>
      <c r="J21">
        <v>0.9</v>
      </c>
      <c r="K21" s="16">
        <f t="shared" si="0"/>
        <v>8.070999999999998</v>
      </c>
      <c r="AA21">
        <v>37.9</v>
      </c>
      <c r="AB21">
        <v>1.7</v>
      </c>
      <c r="AC21" s="16">
        <f t="shared" si="2"/>
        <v>9.6879999999999988</v>
      </c>
    </row>
    <row r="22" spans="1:40" x14ac:dyDescent="0.3">
      <c r="A22">
        <v>0.9</v>
      </c>
      <c r="I22">
        <v>37.6</v>
      </c>
      <c r="J22">
        <v>6.3</v>
      </c>
      <c r="K22" s="16">
        <f t="shared" si="0"/>
        <v>9.786999999999999</v>
      </c>
      <c r="AA22">
        <v>41.6</v>
      </c>
      <c r="AB22">
        <v>1.5</v>
      </c>
      <c r="AC22" s="16">
        <f t="shared" si="2"/>
        <v>8.4669999999999987</v>
      </c>
    </row>
    <row r="23" spans="1:40" x14ac:dyDescent="0.3">
      <c r="A23">
        <v>0.9</v>
      </c>
      <c r="I23">
        <v>44</v>
      </c>
      <c r="J23">
        <v>3.3</v>
      </c>
      <c r="K23" s="16">
        <f t="shared" si="0"/>
        <v>7.674999999999998</v>
      </c>
      <c r="AA23">
        <v>40.6</v>
      </c>
      <c r="AB23">
        <v>7.5</v>
      </c>
      <c r="AC23" s="16">
        <f t="shared" si="2"/>
        <v>8.796999999999997</v>
      </c>
    </row>
    <row r="24" spans="1:40" x14ac:dyDescent="0.3">
      <c r="A24">
        <v>0.9</v>
      </c>
      <c r="I24">
        <v>41.4</v>
      </c>
      <c r="J24">
        <v>1.1000000000000001</v>
      </c>
      <c r="K24" s="16">
        <f t="shared" si="0"/>
        <v>8.5329999999999977</v>
      </c>
      <c r="AA24">
        <v>40.9</v>
      </c>
      <c r="AB24">
        <v>1.9</v>
      </c>
      <c r="AC24" s="16">
        <f t="shared" si="2"/>
        <v>8.6980000000000004</v>
      </c>
    </row>
    <row r="25" spans="1:40" ht="14" thickBot="1" x14ac:dyDescent="0.35">
      <c r="A25">
        <v>1</v>
      </c>
      <c r="I25">
        <v>37.9</v>
      </c>
      <c r="J25">
        <v>1.7</v>
      </c>
      <c r="K25" s="16">
        <f t="shared" si="0"/>
        <v>9.6879999999999988</v>
      </c>
      <c r="R25" s="5" t="s">
        <v>93</v>
      </c>
      <c r="U25" s="5" t="s">
        <v>92</v>
      </c>
      <c r="AA25">
        <v>43.2</v>
      </c>
      <c r="AB25">
        <v>2.5</v>
      </c>
      <c r="AC25" s="16">
        <f t="shared" si="2"/>
        <v>7.9389999999999974</v>
      </c>
    </row>
    <row r="26" spans="1:40" x14ac:dyDescent="0.3">
      <c r="A26">
        <v>1.1000000000000001</v>
      </c>
      <c r="I26">
        <v>41.6</v>
      </c>
      <c r="J26">
        <v>1.5</v>
      </c>
      <c r="K26" s="16">
        <f t="shared" si="0"/>
        <v>8.4669999999999987</v>
      </c>
      <c r="R26" s="3" t="s">
        <v>49</v>
      </c>
      <c r="S26" s="3" t="s">
        <v>51</v>
      </c>
      <c r="U26" s="3" t="s">
        <v>49</v>
      </c>
      <c r="V26" s="3" t="s">
        <v>51</v>
      </c>
      <c r="AA26">
        <v>44.7</v>
      </c>
      <c r="AB26">
        <v>0.4</v>
      </c>
      <c r="AC26" s="16">
        <f t="shared" si="2"/>
        <v>7.4439999999999982</v>
      </c>
    </row>
    <row r="27" spans="1:40" x14ac:dyDescent="0.3">
      <c r="A27">
        <v>1.1000000000000001</v>
      </c>
      <c r="I27">
        <v>40.6</v>
      </c>
      <c r="J27">
        <v>7.5</v>
      </c>
      <c r="K27" s="16">
        <f t="shared" si="0"/>
        <v>8.796999999999997</v>
      </c>
      <c r="R27" s="6">
        <v>-2</v>
      </c>
      <c r="S27" s="1">
        <v>0</v>
      </c>
      <c r="U27" s="6">
        <v>-2</v>
      </c>
      <c r="V27" s="1">
        <v>0</v>
      </c>
      <c r="AA27">
        <v>43</v>
      </c>
      <c r="AB27">
        <v>0.6</v>
      </c>
      <c r="AC27" s="16">
        <f t="shared" si="2"/>
        <v>8.004999999999999</v>
      </c>
    </row>
    <row r="28" spans="1:40" x14ac:dyDescent="0.3">
      <c r="A28">
        <v>1.1000000000000001</v>
      </c>
      <c r="I28">
        <v>40.9</v>
      </c>
      <c r="J28">
        <v>1.9</v>
      </c>
      <c r="K28" s="16">
        <f t="shared" si="0"/>
        <v>8.6980000000000004</v>
      </c>
      <c r="R28" s="6">
        <v>-1.5</v>
      </c>
      <c r="S28" s="1">
        <v>0</v>
      </c>
      <c r="U28" s="6">
        <v>-1.5</v>
      </c>
      <c r="V28" s="1">
        <v>1</v>
      </c>
      <c r="AA28">
        <v>46.8</v>
      </c>
      <c r="AB28">
        <v>1.2</v>
      </c>
      <c r="AC28" s="16">
        <f t="shared" si="2"/>
        <v>6.7510000000000003</v>
      </c>
    </row>
    <row r="29" spans="1:40" x14ac:dyDescent="0.3">
      <c r="A29">
        <v>1.2</v>
      </c>
      <c r="I29">
        <v>43.2</v>
      </c>
      <c r="J29">
        <v>2.5</v>
      </c>
      <c r="K29" s="16">
        <f t="shared" si="0"/>
        <v>7.9389999999999974</v>
      </c>
      <c r="R29" s="6">
        <v>-1</v>
      </c>
      <c r="S29" s="1">
        <v>0</v>
      </c>
      <c r="U29" s="6">
        <v>-1</v>
      </c>
      <c r="V29" s="1">
        <v>1</v>
      </c>
      <c r="AA29">
        <v>42.1</v>
      </c>
      <c r="AB29">
        <v>1</v>
      </c>
      <c r="AC29" s="16">
        <f t="shared" si="2"/>
        <v>8.3019999999999996</v>
      </c>
    </row>
    <row r="30" spans="1:40" x14ac:dyDescent="0.3">
      <c r="A30">
        <v>1.2</v>
      </c>
      <c r="I30">
        <v>44.7</v>
      </c>
      <c r="J30">
        <v>0.4</v>
      </c>
      <c r="K30" s="16">
        <f t="shared" si="0"/>
        <v>7.4439999999999982</v>
      </c>
      <c r="R30" s="6">
        <v>-0.5</v>
      </c>
      <c r="S30" s="1">
        <v>0</v>
      </c>
      <c r="U30" s="6">
        <v>-0.5</v>
      </c>
      <c r="V30" s="1">
        <v>1</v>
      </c>
      <c r="AA30">
        <v>42.9</v>
      </c>
      <c r="AB30">
        <v>1.7</v>
      </c>
      <c r="AC30" s="16">
        <f t="shared" si="2"/>
        <v>8.0380000000000003</v>
      </c>
    </row>
    <row r="31" spans="1:40" x14ac:dyDescent="0.3">
      <c r="A31">
        <v>1.4</v>
      </c>
      <c r="I31">
        <v>43</v>
      </c>
      <c r="J31">
        <v>0.6</v>
      </c>
      <c r="K31" s="16">
        <f t="shared" si="0"/>
        <v>8.004999999999999</v>
      </c>
      <c r="R31" s="6">
        <v>0</v>
      </c>
      <c r="S31" s="1">
        <v>0</v>
      </c>
      <c r="U31" s="6">
        <v>0</v>
      </c>
      <c r="V31" s="1">
        <v>3</v>
      </c>
      <c r="AA31">
        <v>45.2</v>
      </c>
      <c r="AB31">
        <v>1.2</v>
      </c>
      <c r="AC31" s="16">
        <f t="shared" si="2"/>
        <v>7.2789999999999973</v>
      </c>
    </row>
    <row r="32" spans="1:40" x14ac:dyDescent="0.3">
      <c r="A32">
        <v>1.5</v>
      </c>
      <c r="I32">
        <v>46.8</v>
      </c>
      <c r="J32">
        <v>1.2</v>
      </c>
      <c r="K32" s="16">
        <f t="shared" si="0"/>
        <v>6.7510000000000003</v>
      </c>
      <c r="R32" s="6">
        <v>0.5</v>
      </c>
      <c r="S32" s="1">
        <v>0</v>
      </c>
      <c r="U32" s="6">
        <v>0.5</v>
      </c>
      <c r="V32" s="1">
        <v>8</v>
      </c>
      <c r="AA32">
        <v>43.2</v>
      </c>
      <c r="AB32">
        <v>0.5</v>
      </c>
      <c r="AC32" s="16">
        <f t="shared" si="2"/>
        <v>7.9389999999999974</v>
      </c>
    </row>
    <row r="33" spans="1:29" x14ac:dyDescent="0.3">
      <c r="A33">
        <v>1.6</v>
      </c>
      <c r="I33">
        <v>42.1</v>
      </c>
      <c r="J33">
        <v>1</v>
      </c>
      <c r="K33" s="16">
        <f t="shared" si="0"/>
        <v>8.3019999999999996</v>
      </c>
      <c r="R33" s="6">
        <v>1</v>
      </c>
      <c r="S33" s="1">
        <v>0</v>
      </c>
      <c r="U33" s="6">
        <v>1</v>
      </c>
      <c r="V33" s="1">
        <v>11</v>
      </c>
      <c r="AA33">
        <v>39.1</v>
      </c>
      <c r="AB33">
        <v>1.9</v>
      </c>
      <c r="AC33" s="16">
        <f t="shared" si="2"/>
        <v>9.291999999999998</v>
      </c>
    </row>
    <row r="34" spans="1:29" x14ac:dyDescent="0.3">
      <c r="A34">
        <v>1.7</v>
      </c>
      <c r="I34">
        <v>42.9</v>
      </c>
      <c r="J34">
        <v>1.7</v>
      </c>
      <c r="K34" s="16">
        <f t="shared" si="0"/>
        <v>8.0380000000000003</v>
      </c>
      <c r="R34" s="6">
        <v>1.5</v>
      </c>
      <c r="S34" s="1">
        <v>0</v>
      </c>
      <c r="U34" s="6">
        <v>1.5</v>
      </c>
      <c r="V34" s="1">
        <v>7</v>
      </c>
      <c r="AA34">
        <v>44.7</v>
      </c>
      <c r="AB34">
        <v>0.9</v>
      </c>
      <c r="AC34" s="16">
        <f t="shared" si="2"/>
        <v>7.4439999999999982</v>
      </c>
    </row>
    <row r="35" spans="1:29" x14ac:dyDescent="0.3">
      <c r="A35">
        <v>1.7</v>
      </c>
      <c r="I35">
        <v>45.2</v>
      </c>
      <c r="J35">
        <v>1.2</v>
      </c>
      <c r="K35" s="16">
        <f t="shared" si="0"/>
        <v>7.2789999999999973</v>
      </c>
      <c r="R35" s="6">
        <v>2</v>
      </c>
      <c r="S35" s="1">
        <v>0</v>
      </c>
      <c r="U35" s="6">
        <v>2</v>
      </c>
      <c r="V35" s="1">
        <v>6</v>
      </c>
      <c r="AA35">
        <v>41.4</v>
      </c>
      <c r="AB35">
        <v>0.1</v>
      </c>
      <c r="AC35" s="16">
        <f t="shared" si="2"/>
        <v>8.5329999999999977</v>
      </c>
    </row>
    <row r="36" spans="1:29" x14ac:dyDescent="0.3">
      <c r="A36">
        <v>1.7</v>
      </c>
      <c r="I36">
        <v>43.2</v>
      </c>
      <c r="J36">
        <v>0.5</v>
      </c>
      <c r="K36" s="16">
        <f t="shared" si="0"/>
        <v>7.9389999999999974</v>
      </c>
      <c r="R36" s="6">
        <v>2.5</v>
      </c>
      <c r="S36" s="1">
        <v>0</v>
      </c>
      <c r="U36" s="6">
        <v>2.5</v>
      </c>
      <c r="V36" s="1">
        <v>3</v>
      </c>
      <c r="AA36">
        <v>45</v>
      </c>
      <c r="AB36">
        <v>1.6</v>
      </c>
      <c r="AC36" s="16">
        <f t="shared" si="2"/>
        <v>7.344999999999998</v>
      </c>
    </row>
    <row r="37" spans="1:29" x14ac:dyDescent="0.3">
      <c r="A37">
        <v>1.9</v>
      </c>
      <c r="I37">
        <v>39.1</v>
      </c>
      <c r="J37">
        <v>1.9</v>
      </c>
      <c r="K37" s="16">
        <f t="shared" si="0"/>
        <v>9.291999999999998</v>
      </c>
      <c r="R37" s="6">
        <v>3</v>
      </c>
      <c r="S37" s="1">
        <v>0</v>
      </c>
      <c r="U37" s="6">
        <v>3</v>
      </c>
      <c r="V37" s="1">
        <v>7</v>
      </c>
      <c r="AA37">
        <v>42</v>
      </c>
      <c r="AB37">
        <v>1.1000000000000001</v>
      </c>
      <c r="AC37" s="16">
        <f t="shared" si="2"/>
        <v>8.3349999999999973</v>
      </c>
    </row>
    <row r="38" spans="1:29" x14ac:dyDescent="0.3">
      <c r="A38">
        <v>1.9</v>
      </c>
      <c r="I38">
        <v>44.7</v>
      </c>
      <c r="J38">
        <v>0.9</v>
      </c>
      <c r="K38" s="16">
        <f t="shared" si="0"/>
        <v>7.4439999999999982</v>
      </c>
      <c r="R38" s="6">
        <v>3.5</v>
      </c>
      <c r="S38" s="1">
        <v>0</v>
      </c>
      <c r="U38" s="6">
        <v>3.5</v>
      </c>
      <c r="V38" s="1">
        <v>5</v>
      </c>
      <c r="AA38">
        <v>41.7</v>
      </c>
      <c r="AB38">
        <v>3</v>
      </c>
      <c r="AC38" s="16">
        <f t="shared" si="2"/>
        <v>8.4339999999999975</v>
      </c>
    </row>
    <row r="39" spans="1:29" x14ac:dyDescent="0.3">
      <c r="A39">
        <v>2.1</v>
      </c>
      <c r="I39">
        <v>46.1</v>
      </c>
      <c r="K39" s="16">
        <f t="shared" si="0"/>
        <v>6.9819999999999984</v>
      </c>
      <c r="R39" s="6">
        <v>4</v>
      </c>
      <c r="S39" s="1">
        <v>0</v>
      </c>
      <c r="U39" s="6">
        <v>4</v>
      </c>
      <c r="V39" s="1">
        <v>1</v>
      </c>
      <c r="AA39">
        <v>39.799999999999997</v>
      </c>
      <c r="AB39">
        <v>0.8</v>
      </c>
      <c r="AC39" s="16">
        <f t="shared" si="2"/>
        <v>9.0609999999999999</v>
      </c>
    </row>
    <row r="40" spans="1:29" x14ac:dyDescent="0.3">
      <c r="A40">
        <v>2.1</v>
      </c>
      <c r="I40">
        <v>41.4</v>
      </c>
      <c r="J40">
        <v>0.1</v>
      </c>
      <c r="K40" s="16">
        <f t="shared" si="0"/>
        <v>8.5329999999999977</v>
      </c>
      <c r="R40" s="6">
        <v>4.5</v>
      </c>
      <c r="S40" s="1">
        <v>0</v>
      </c>
      <c r="U40" s="6">
        <v>4.5</v>
      </c>
      <c r="V40" s="1">
        <v>1</v>
      </c>
      <c r="AA40">
        <v>45.2</v>
      </c>
      <c r="AB40">
        <v>0.2</v>
      </c>
      <c r="AC40" s="16">
        <f t="shared" si="2"/>
        <v>7.2789999999999973</v>
      </c>
    </row>
    <row r="41" spans="1:29" x14ac:dyDescent="0.3">
      <c r="A41">
        <v>2.5</v>
      </c>
      <c r="I41">
        <v>45</v>
      </c>
      <c r="J41">
        <v>1.6</v>
      </c>
      <c r="K41" s="16">
        <f t="shared" si="0"/>
        <v>7.344999999999998</v>
      </c>
      <c r="R41" s="6">
        <v>5</v>
      </c>
      <c r="S41" s="1">
        <v>2</v>
      </c>
      <c r="U41" s="6">
        <v>5</v>
      </c>
      <c r="V41" s="1">
        <v>0</v>
      </c>
      <c r="AA41">
        <v>47.9</v>
      </c>
      <c r="AB41">
        <v>2.1</v>
      </c>
      <c r="AC41" s="16">
        <f t="shared" si="2"/>
        <v>6.387999999999999</v>
      </c>
    </row>
    <row r="42" spans="1:29" x14ac:dyDescent="0.3">
      <c r="A42">
        <v>2.6</v>
      </c>
      <c r="I42">
        <v>42</v>
      </c>
      <c r="J42">
        <v>1.1000000000000001</v>
      </c>
      <c r="K42" s="16">
        <f t="shared" si="0"/>
        <v>8.3349999999999973</v>
      </c>
      <c r="R42" s="6">
        <v>5.5</v>
      </c>
      <c r="S42" s="1">
        <v>0</v>
      </c>
      <c r="U42" s="6">
        <v>5.5</v>
      </c>
      <c r="V42" s="1">
        <v>1</v>
      </c>
      <c r="AA42">
        <v>43.8</v>
      </c>
      <c r="AB42">
        <v>-0.3</v>
      </c>
      <c r="AC42" s="16">
        <f t="shared" si="2"/>
        <v>7.7409999999999988</v>
      </c>
    </row>
    <row r="43" spans="1:29" x14ac:dyDescent="0.3">
      <c r="A43">
        <v>2.7</v>
      </c>
      <c r="I43">
        <v>41.7</v>
      </c>
      <c r="J43">
        <v>3</v>
      </c>
      <c r="K43" s="16">
        <f t="shared" si="0"/>
        <v>8.4339999999999975</v>
      </c>
      <c r="R43" s="6">
        <v>6</v>
      </c>
      <c r="S43" s="1">
        <v>3</v>
      </c>
      <c r="U43" s="6">
        <v>6</v>
      </c>
      <c r="V43" s="1">
        <v>1</v>
      </c>
      <c r="AA43">
        <v>44.1</v>
      </c>
      <c r="AB43">
        <v>0.9</v>
      </c>
      <c r="AC43" s="16">
        <f t="shared" si="2"/>
        <v>7.6419999999999986</v>
      </c>
    </row>
    <row r="44" spans="1:29" x14ac:dyDescent="0.3">
      <c r="A44">
        <v>2.8</v>
      </c>
      <c r="I44">
        <v>39.799999999999997</v>
      </c>
      <c r="J44">
        <v>0.8</v>
      </c>
      <c r="K44" s="16">
        <f t="shared" si="0"/>
        <v>9.0609999999999999</v>
      </c>
      <c r="R44" s="6">
        <v>6.5</v>
      </c>
      <c r="S44" s="1">
        <v>5</v>
      </c>
      <c r="U44" s="6">
        <v>6.5</v>
      </c>
      <c r="V44" s="1">
        <v>1</v>
      </c>
      <c r="AA44">
        <v>47.4</v>
      </c>
      <c r="AB44">
        <v>3.2</v>
      </c>
      <c r="AC44" s="16">
        <f t="shared" si="2"/>
        <v>6.5529999999999999</v>
      </c>
    </row>
    <row r="45" spans="1:29" x14ac:dyDescent="0.3">
      <c r="A45">
        <v>2.8</v>
      </c>
      <c r="I45">
        <v>45.2</v>
      </c>
      <c r="J45">
        <v>0.2</v>
      </c>
      <c r="K45" s="16">
        <f t="shared" si="0"/>
        <v>7.2789999999999973</v>
      </c>
      <c r="R45" s="6">
        <v>7</v>
      </c>
      <c r="S45" s="1">
        <v>5</v>
      </c>
      <c r="U45" s="6">
        <v>7</v>
      </c>
      <c r="V45" s="1">
        <v>1</v>
      </c>
      <c r="AA45">
        <v>50</v>
      </c>
      <c r="AB45">
        <v>3</v>
      </c>
      <c r="AC45" s="16">
        <f t="shared" ref="AC45:AC61" si="3">-0.33*AA45+11.15+8.12+(5.85/2)</f>
        <v>5.6949999999999994</v>
      </c>
    </row>
    <row r="46" spans="1:29" x14ac:dyDescent="0.3">
      <c r="A46">
        <v>2.8</v>
      </c>
      <c r="I46">
        <v>47.9</v>
      </c>
      <c r="J46">
        <v>2.1</v>
      </c>
      <c r="K46" s="16">
        <f t="shared" si="0"/>
        <v>6.387999999999999</v>
      </c>
      <c r="R46" s="6">
        <v>7.5</v>
      </c>
      <c r="S46" s="1">
        <v>9</v>
      </c>
      <c r="U46" s="6">
        <v>7.5</v>
      </c>
      <c r="V46" s="1">
        <v>2</v>
      </c>
      <c r="AA46">
        <v>47.8</v>
      </c>
      <c r="AB46">
        <v>0.7</v>
      </c>
      <c r="AC46" s="16">
        <f t="shared" si="3"/>
        <v>6.4210000000000003</v>
      </c>
    </row>
    <row r="47" spans="1:29" x14ac:dyDescent="0.3">
      <c r="A47">
        <v>3</v>
      </c>
      <c r="I47">
        <v>43.8</v>
      </c>
      <c r="J47">
        <v>-0.3</v>
      </c>
      <c r="K47" s="16">
        <f t="shared" si="0"/>
        <v>7.7409999999999988</v>
      </c>
      <c r="R47" s="6">
        <v>8</v>
      </c>
      <c r="S47" s="1">
        <v>7</v>
      </c>
      <c r="U47" s="6">
        <v>8</v>
      </c>
      <c r="V47" s="1">
        <v>0</v>
      </c>
      <c r="AA47">
        <v>44.6</v>
      </c>
      <c r="AB47">
        <v>0.1</v>
      </c>
      <c r="AC47" s="16">
        <f t="shared" si="3"/>
        <v>7.4769999999999976</v>
      </c>
    </row>
    <row r="48" spans="1:29" x14ac:dyDescent="0.3">
      <c r="A48">
        <v>3</v>
      </c>
      <c r="I48">
        <v>44.1</v>
      </c>
      <c r="J48">
        <v>0.9</v>
      </c>
      <c r="K48" s="16">
        <f t="shared" si="0"/>
        <v>7.6419999999999986</v>
      </c>
      <c r="R48" s="6">
        <v>8.5</v>
      </c>
      <c r="S48" s="1">
        <v>15</v>
      </c>
      <c r="U48" s="6">
        <v>8.5</v>
      </c>
      <c r="V48" s="1">
        <v>0</v>
      </c>
      <c r="AA48">
        <v>50.4</v>
      </c>
      <c r="AB48">
        <v>3.1</v>
      </c>
      <c r="AC48" s="16">
        <f t="shared" si="3"/>
        <v>5.5629999999999979</v>
      </c>
    </row>
    <row r="49" spans="1:29" x14ac:dyDescent="0.3">
      <c r="A49">
        <v>3.1</v>
      </c>
      <c r="I49">
        <v>47.4</v>
      </c>
      <c r="J49">
        <v>3.2</v>
      </c>
      <c r="K49" s="16">
        <f t="shared" si="0"/>
        <v>6.5529999999999999</v>
      </c>
      <c r="R49" s="6">
        <v>9</v>
      </c>
      <c r="S49" s="1">
        <v>5</v>
      </c>
      <c r="U49" s="6">
        <v>9</v>
      </c>
      <c r="V49" s="1">
        <v>0</v>
      </c>
      <c r="AA49">
        <v>47.6</v>
      </c>
      <c r="AB49">
        <v>-1.5</v>
      </c>
      <c r="AC49" s="16">
        <f t="shared" si="3"/>
        <v>6.4869999999999974</v>
      </c>
    </row>
    <row r="50" spans="1:29" x14ac:dyDescent="0.3">
      <c r="A50">
        <v>3.2</v>
      </c>
      <c r="I50">
        <v>50</v>
      </c>
      <c r="J50">
        <v>3</v>
      </c>
      <c r="K50" s="16">
        <f t="shared" si="0"/>
        <v>5.6949999999999994</v>
      </c>
      <c r="R50" s="6">
        <v>9.5</v>
      </c>
      <c r="S50" s="1">
        <v>5</v>
      </c>
      <c r="U50" s="6">
        <v>9.5</v>
      </c>
      <c r="V50" s="1">
        <v>0</v>
      </c>
      <c r="AA50">
        <v>47.7</v>
      </c>
      <c r="AB50">
        <v>4.0999999999999996</v>
      </c>
      <c r="AC50" s="16">
        <f t="shared" si="3"/>
        <v>6.453999999999998</v>
      </c>
    </row>
    <row r="51" spans="1:29" x14ac:dyDescent="0.3">
      <c r="A51">
        <v>3.3</v>
      </c>
      <c r="I51">
        <v>47.8</v>
      </c>
      <c r="J51">
        <v>0.7</v>
      </c>
      <c r="K51" s="16">
        <f t="shared" si="0"/>
        <v>6.4210000000000003</v>
      </c>
      <c r="R51" s="6">
        <v>10</v>
      </c>
      <c r="S51" s="1">
        <v>6</v>
      </c>
      <c r="U51" s="6">
        <v>10</v>
      </c>
      <c r="V51" s="1">
        <v>0</v>
      </c>
      <c r="AA51">
        <v>42.5</v>
      </c>
      <c r="AB51">
        <v>0.6</v>
      </c>
      <c r="AC51" s="16">
        <f t="shared" si="3"/>
        <v>8.1699999999999982</v>
      </c>
    </row>
    <row r="52" spans="1:29" x14ac:dyDescent="0.3">
      <c r="A52">
        <v>3.3</v>
      </c>
      <c r="I52">
        <v>44.6</v>
      </c>
      <c r="J52">
        <v>0.1</v>
      </c>
      <c r="K52" s="16">
        <f t="shared" si="0"/>
        <v>7.4769999999999976</v>
      </c>
      <c r="R52" s="6">
        <v>10.5</v>
      </c>
      <c r="S52" s="1">
        <v>2</v>
      </c>
      <c r="U52" s="6">
        <v>10.5</v>
      </c>
      <c r="V52" s="1">
        <v>0</v>
      </c>
      <c r="AA52">
        <v>42.5</v>
      </c>
      <c r="AB52">
        <v>1.1000000000000001</v>
      </c>
      <c r="AC52" s="16">
        <f t="shared" si="3"/>
        <v>8.1699999999999982</v>
      </c>
    </row>
    <row r="53" spans="1:29" x14ac:dyDescent="0.3">
      <c r="A53">
        <v>3.5</v>
      </c>
      <c r="I53">
        <v>50.4</v>
      </c>
      <c r="J53">
        <v>3.1</v>
      </c>
      <c r="K53" s="16">
        <f t="shared" si="0"/>
        <v>5.5629999999999979</v>
      </c>
      <c r="R53" s="6">
        <v>11</v>
      </c>
      <c r="S53" s="1">
        <v>0</v>
      </c>
      <c r="U53" s="6">
        <v>11</v>
      </c>
      <c r="V53" s="1">
        <v>0</v>
      </c>
      <c r="AA53">
        <v>45.9</v>
      </c>
      <c r="AB53">
        <v>2.8</v>
      </c>
      <c r="AC53" s="16">
        <f t="shared" si="3"/>
        <v>7.0479999999999992</v>
      </c>
    </row>
    <row r="54" spans="1:29" x14ac:dyDescent="0.3">
      <c r="A54">
        <v>3.7</v>
      </c>
      <c r="I54">
        <v>47.6</v>
      </c>
      <c r="J54">
        <v>-1.5</v>
      </c>
      <c r="K54" s="16">
        <f t="shared" si="0"/>
        <v>6.4869999999999974</v>
      </c>
      <c r="R54" s="6">
        <v>11.5</v>
      </c>
      <c r="S54" s="1">
        <v>1</v>
      </c>
      <c r="U54" s="6">
        <v>11.5</v>
      </c>
      <c r="V54" s="1">
        <v>0</v>
      </c>
      <c r="AA54">
        <v>46.6</v>
      </c>
      <c r="AB54">
        <v>1.7</v>
      </c>
      <c r="AC54" s="16">
        <f t="shared" si="3"/>
        <v>6.8169999999999975</v>
      </c>
    </row>
    <row r="55" spans="1:29" x14ac:dyDescent="0.3">
      <c r="A55">
        <v>4.0999999999999996</v>
      </c>
      <c r="I55">
        <v>47.7</v>
      </c>
      <c r="J55">
        <v>4.0999999999999996</v>
      </c>
      <c r="K55" s="16">
        <f t="shared" si="0"/>
        <v>6.453999999999998</v>
      </c>
      <c r="R55" s="6">
        <v>12</v>
      </c>
      <c r="S55" s="1">
        <v>1</v>
      </c>
      <c r="U55" s="6">
        <v>12</v>
      </c>
      <c r="V55" s="1">
        <v>2</v>
      </c>
      <c r="AA55">
        <v>47.5</v>
      </c>
      <c r="AB55">
        <v>-0.5</v>
      </c>
      <c r="AC55" s="16">
        <f t="shared" si="3"/>
        <v>6.5199999999999987</v>
      </c>
    </row>
    <row r="56" spans="1:29" x14ac:dyDescent="0.3">
      <c r="A56">
        <v>5.2</v>
      </c>
      <c r="I56">
        <v>42.5</v>
      </c>
      <c r="J56">
        <v>0.6</v>
      </c>
      <c r="K56" s="16">
        <f t="shared" si="0"/>
        <v>8.1699999999999982</v>
      </c>
      <c r="R56" s="6">
        <v>12.5</v>
      </c>
      <c r="S56" s="1">
        <v>0</v>
      </c>
      <c r="U56" s="6">
        <v>12.5</v>
      </c>
      <c r="V56" s="1">
        <v>0</v>
      </c>
      <c r="AA56">
        <v>46</v>
      </c>
      <c r="AB56">
        <v>0</v>
      </c>
      <c r="AC56" s="16">
        <f t="shared" si="3"/>
        <v>7.0149999999999979</v>
      </c>
    </row>
    <row r="57" spans="1:29" x14ac:dyDescent="0.3">
      <c r="A57">
        <v>5.9</v>
      </c>
      <c r="I57">
        <v>42.5</v>
      </c>
      <c r="J57">
        <v>1.1000000000000001</v>
      </c>
      <c r="K57" s="16">
        <f t="shared" si="0"/>
        <v>8.1699999999999982</v>
      </c>
      <c r="R57" s="6">
        <v>13</v>
      </c>
      <c r="S57" s="1">
        <v>2</v>
      </c>
      <c r="U57" s="6">
        <v>13</v>
      </c>
      <c r="V57" s="1">
        <v>0</v>
      </c>
      <c r="AA57">
        <v>48.2</v>
      </c>
      <c r="AB57">
        <v>0.6</v>
      </c>
      <c r="AC57" s="16">
        <f t="shared" si="3"/>
        <v>6.288999999999997</v>
      </c>
    </row>
    <row r="58" spans="1:29" x14ac:dyDescent="0.3">
      <c r="A58">
        <v>6.3</v>
      </c>
      <c r="I58">
        <v>45.9</v>
      </c>
      <c r="J58">
        <v>2.8</v>
      </c>
      <c r="K58" s="16">
        <f t="shared" si="0"/>
        <v>7.0479999999999992</v>
      </c>
      <c r="R58" s="6">
        <v>13.5</v>
      </c>
      <c r="S58" s="1">
        <v>0</v>
      </c>
      <c r="U58" s="6">
        <v>13.5</v>
      </c>
      <c r="V58" s="1">
        <v>0</v>
      </c>
      <c r="AA58">
        <v>45.4</v>
      </c>
      <c r="AB58">
        <v>0.2</v>
      </c>
      <c r="AC58" s="16">
        <f t="shared" si="3"/>
        <v>7.2129999999999983</v>
      </c>
    </row>
    <row r="59" spans="1:29" x14ac:dyDescent="0.3">
      <c r="A59">
        <v>6.6</v>
      </c>
      <c r="I59">
        <v>46.6</v>
      </c>
      <c r="J59">
        <v>1.7</v>
      </c>
      <c r="K59" s="16">
        <f t="shared" si="0"/>
        <v>6.8169999999999975</v>
      </c>
      <c r="R59" s="6">
        <v>14</v>
      </c>
      <c r="S59" s="1">
        <v>0</v>
      </c>
      <c r="U59" s="6">
        <v>14</v>
      </c>
      <c r="V59" s="1">
        <v>0</v>
      </c>
      <c r="AA59">
        <v>53.1</v>
      </c>
      <c r="AB59">
        <v>0.5</v>
      </c>
      <c r="AC59" s="16">
        <f t="shared" si="3"/>
        <v>4.6719999999999997</v>
      </c>
    </row>
    <row r="60" spans="1:29" x14ac:dyDescent="0.3">
      <c r="A60">
        <v>7.4</v>
      </c>
      <c r="I60">
        <v>47.5</v>
      </c>
      <c r="J60">
        <v>-0.5</v>
      </c>
      <c r="K60" s="16">
        <f t="shared" si="0"/>
        <v>6.5199999999999987</v>
      </c>
      <c r="R60" s="6">
        <v>14.5</v>
      </c>
      <c r="S60" s="1">
        <v>1</v>
      </c>
      <c r="U60" s="6">
        <v>14.5</v>
      </c>
      <c r="V60" s="1">
        <v>1</v>
      </c>
      <c r="AA60">
        <v>49.7</v>
      </c>
      <c r="AB60">
        <v>-1</v>
      </c>
      <c r="AC60" s="16">
        <f t="shared" si="3"/>
        <v>5.793999999999996</v>
      </c>
    </row>
    <row r="61" spans="1:29" x14ac:dyDescent="0.3">
      <c r="A61">
        <v>7.5</v>
      </c>
      <c r="I61">
        <v>46</v>
      </c>
      <c r="J61">
        <v>0</v>
      </c>
      <c r="K61" s="16">
        <f t="shared" si="0"/>
        <v>7.0149999999999979</v>
      </c>
      <c r="R61" s="6">
        <v>15</v>
      </c>
      <c r="S61" s="1">
        <v>1</v>
      </c>
      <c r="U61" s="6">
        <v>15</v>
      </c>
      <c r="V61" s="1">
        <v>0</v>
      </c>
      <c r="AA61">
        <v>44.3</v>
      </c>
      <c r="AB61">
        <v>0.8</v>
      </c>
      <c r="AC61" s="16">
        <f t="shared" si="3"/>
        <v>7.5759999999999996</v>
      </c>
    </row>
    <row r="62" spans="1:29" x14ac:dyDescent="0.3">
      <c r="A62">
        <v>11.9</v>
      </c>
      <c r="I62">
        <v>48.2</v>
      </c>
      <c r="J62">
        <v>0.6</v>
      </c>
      <c r="K62" s="16">
        <f t="shared" si="0"/>
        <v>6.288999999999997</v>
      </c>
      <c r="R62" s="6">
        <v>15.5</v>
      </c>
      <c r="S62" s="1">
        <v>0</v>
      </c>
      <c r="U62" s="6">
        <v>15.5</v>
      </c>
      <c r="V62" s="1">
        <v>0</v>
      </c>
      <c r="AA62">
        <v>53.3</v>
      </c>
      <c r="AB62">
        <v>0.7</v>
      </c>
      <c r="AC62" s="16">
        <f t="shared" ref="AC62:AC67" si="4">-0.33*AA62+11.15+8.12+(5.85/2)</f>
        <v>4.6060000000000008</v>
      </c>
    </row>
    <row r="63" spans="1:29" x14ac:dyDescent="0.3">
      <c r="A63">
        <v>11.9</v>
      </c>
      <c r="I63">
        <v>45.4</v>
      </c>
      <c r="J63">
        <v>0.2</v>
      </c>
      <c r="K63" s="16">
        <f t="shared" si="0"/>
        <v>7.2129999999999983</v>
      </c>
      <c r="R63" s="6">
        <v>16</v>
      </c>
      <c r="S63" s="1">
        <v>0</v>
      </c>
      <c r="U63" s="6">
        <v>16</v>
      </c>
      <c r="V63" s="1">
        <v>1</v>
      </c>
      <c r="AA63">
        <v>18</v>
      </c>
      <c r="AB63">
        <v>11.9</v>
      </c>
      <c r="AC63" s="16">
        <f t="shared" si="4"/>
        <v>16.254999999999999</v>
      </c>
    </row>
    <row r="64" spans="1:29" x14ac:dyDescent="0.3">
      <c r="A64">
        <v>14.1</v>
      </c>
      <c r="I64">
        <v>53.1</v>
      </c>
      <c r="J64">
        <v>0.5</v>
      </c>
      <c r="K64" s="16">
        <f t="shared" si="0"/>
        <v>4.6719999999999997</v>
      </c>
      <c r="R64" s="6">
        <v>16.5</v>
      </c>
      <c r="S64" s="1">
        <v>1</v>
      </c>
      <c r="U64" s="6">
        <v>16.5</v>
      </c>
      <c r="V64" s="1">
        <v>0</v>
      </c>
      <c r="AA64">
        <v>22.3</v>
      </c>
      <c r="AB64">
        <v>14.1</v>
      </c>
      <c r="AC64" s="16">
        <f t="shared" si="4"/>
        <v>14.835999999999999</v>
      </c>
    </row>
    <row r="65" spans="1:29" x14ac:dyDescent="0.3">
      <c r="A65">
        <v>15.7</v>
      </c>
      <c r="I65">
        <v>49.7</v>
      </c>
      <c r="J65">
        <v>-1</v>
      </c>
      <c r="K65" s="16">
        <f t="shared" si="0"/>
        <v>5.793999999999996</v>
      </c>
      <c r="R65" s="6">
        <v>17</v>
      </c>
      <c r="S65" s="1">
        <v>0</v>
      </c>
      <c r="U65" s="6">
        <v>17</v>
      </c>
      <c r="V65" s="1">
        <v>0</v>
      </c>
      <c r="AA65">
        <v>29</v>
      </c>
      <c r="AB65">
        <v>15.7</v>
      </c>
      <c r="AC65" s="16">
        <f t="shared" si="4"/>
        <v>12.625</v>
      </c>
    </row>
    <row r="66" spans="1:29" ht="14" thickBot="1" x14ac:dyDescent="0.35">
      <c r="A66">
        <v>19.399999999999999</v>
      </c>
      <c r="I66">
        <v>44.3</v>
      </c>
      <c r="J66">
        <v>0.8</v>
      </c>
      <c r="K66" s="16">
        <f t="shared" si="0"/>
        <v>7.5759999999999996</v>
      </c>
      <c r="R66" s="2" t="s">
        <v>50</v>
      </c>
      <c r="S66" s="2">
        <v>0</v>
      </c>
      <c r="U66" s="2" t="s">
        <v>50</v>
      </c>
      <c r="V66" s="2">
        <v>1</v>
      </c>
      <c r="AA66">
        <v>36.5</v>
      </c>
      <c r="AB66">
        <v>5.2</v>
      </c>
      <c r="AC66" s="16">
        <f t="shared" si="4"/>
        <v>10.149999999999999</v>
      </c>
    </row>
    <row r="67" spans="1:29" x14ac:dyDescent="0.3">
      <c r="I67">
        <v>53.3</v>
      </c>
      <c r="J67">
        <v>0.7</v>
      </c>
      <c r="K67" s="16">
        <f t="shared" ref="K67:K72" si="5">-0.33*I67+11.15+8.12+(5.85/2)</f>
        <v>4.6060000000000008</v>
      </c>
      <c r="AA67">
        <v>41.5</v>
      </c>
      <c r="AB67">
        <v>7.4</v>
      </c>
      <c r="AC67" s="16">
        <f t="shared" si="4"/>
        <v>8.5</v>
      </c>
    </row>
    <row r="68" spans="1:29" x14ac:dyDescent="0.3">
      <c r="I68">
        <v>18</v>
      </c>
      <c r="J68">
        <v>11.9</v>
      </c>
      <c r="K68" s="16">
        <f t="shared" si="5"/>
        <v>16.254999999999999</v>
      </c>
    </row>
    <row r="69" spans="1:29" x14ac:dyDescent="0.3">
      <c r="I69">
        <v>22.3</v>
      </c>
      <c r="J69">
        <v>14.1</v>
      </c>
      <c r="K69" s="16">
        <f t="shared" si="5"/>
        <v>14.835999999999999</v>
      </c>
    </row>
    <row r="70" spans="1:29" x14ac:dyDescent="0.3">
      <c r="I70">
        <v>29</v>
      </c>
      <c r="J70">
        <v>15.7</v>
      </c>
      <c r="K70" s="16">
        <f t="shared" si="5"/>
        <v>12.625</v>
      </c>
    </row>
    <row r="71" spans="1:29" x14ac:dyDescent="0.3">
      <c r="I71">
        <v>36.5</v>
      </c>
      <c r="J71">
        <v>5.2</v>
      </c>
      <c r="K71" s="16">
        <f t="shared" si="5"/>
        <v>10.149999999999999</v>
      </c>
    </row>
    <row r="72" spans="1:29" x14ac:dyDescent="0.3">
      <c r="I72">
        <v>41.5</v>
      </c>
      <c r="J72">
        <v>7.4</v>
      </c>
      <c r="K72" s="16">
        <f t="shared" si="5"/>
        <v>8.5</v>
      </c>
    </row>
  </sheetData>
  <sortState ref="U27:U65">
    <sortCondition ref="U1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workbookViewId="0">
      <selection activeCell="K11" sqref="K11"/>
    </sheetView>
  </sheetViews>
  <sheetFormatPr defaultRowHeight="13.5" x14ac:dyDescent="0.3"/>
  <sheetData>
    <row r="1" spans="1:9" x14ac:dyDescent="0.3">
      <c r="A1">
        <v>18</v>
      </c>
      <c r="C1">
        <f>1/71</f>
        <v>1.4084507042253521E-2</v>
      </c>
      <c r="E1" t="s">
        <v>5</v>
      </c>
      <c r="F1" t="s">
        <v>7</v>
      </c>
    </row>
    <row r="2" spans="1:9" x14ac:dyDescent="0.3">
      <c r="A2" s="14">
        <v>22.3</v>
      </c>
      <c r="C2">
        <f>3/71</f>
        <v>4.2253521126760563E-2</v>
      </c>
      <c r="E2">
        <v>36.299999999999997</v>
      </c>
      <c r="F2">
        <v>2.6</v>
      </c>
    </row>
    <row r="3" spans="1:9" x14ac:dyDescent="0.3">
      <c r="A3" s="14">
        <v>24.6</v>
      </c>
      <c r="E3">
        <v>28.6</v>
      </c>
      <c r="F3">
        <v>11.9</v>
      </c>
    </row>
    <row r="4" spans="1:9" x14ac:dyDescent="0.3">
      <c r="A4" s="14">
        <v>28.6</v>
      </c>
      <c r="E4">
        <v>39.299999999999997</v>
      </c>
      <c r="F4">
        <v>5.9</v>
      </c>
    </row>
    <row r="5" spans="1:9" x14ac:dyDescent="0.3">
      <c r="A5" s="15">
        <v>29</v>
      </c>
      <c r="C5">
        <f>8/71</f>
        <v>0.11267605633802817</v>
      </c>
      <c r="E5">
        <v>24.6</v>
      </c>
      <c r="F5">
        <v>19.399999999999999</v>
      </c>
    </row>
    <row r="6" spans="1:9" x14ac:dyDescent="0.3">
      <c r="A6" s="15">
        <v>31.2</v>
      </c>
      <c r="E6">
        <v>33.5</v>
      </c>
      <c r="F6">
        <v>3.7</v>
      </c>
    </row>
    <row r="7" spans="1:9" x14ac:dyDescent="0.3">
      <c r="A7" s="15">
        <v>33.5</v>
      </c>
      <c r="E7">
        <v>37.700000000000003</v>
      </c>
      <c r="F7">
        <v>3.3</v>
      </c>
    </row>
    <row r="8" spans="1:9" x14ac:dyDescent="0.3">
      <c r="A8" s="15">
        <v>36.299999999999997</v>
      </c>
      <c r="E8">
        <v>42.9</v>
      </c>
      <c r="F8">
        <v>3.5</v>
      </c>
    </row>
    <row r="9" spans="1:9" x14ac:dyDescent="0.3">
      <c r="A9" s="15">
        <v>36.5</v>
      </c>
      <c r="E9">
        <v>37.9</v>
      </c>
      <c r="F9">
        <v>2.8</v>
      </c>
    </row>
    <row r="10" spans="1:9" x14ac:dyDescent="0.3">
      <c r="A10" s="15">
        <v>37.4</v>
      </c>
      <c r="E10">
        <v>43</v>
      </c>
      <c r="F10">
        <v>0.4</v>
      </c>
      <c r="H10" t="s">
        <v>94</v>
      </c>
    </row>
    <row r="11" spans="1:9" ht="14" thickBot="1" x14ac:dyDescent="0.35">
      <c r="A11" s="15">
        <v>37.6</v>
      </c>
      <c r="E11">
        <v>31.2</v>
      </c>
      <c r="F11">
        <v>2.8</v>
      </c>
    </row>
    <row r="12" spans="1:9" x14ac:dyDescent="0.3">
      <c r="A12" s="15">
        <v>37.700000000000003</v>
      </c>
      <c r="E12">
        <v>37.799999999999997</v>
      </c>
      <c r="F12">
        <v>2.7</v>
      </c>
      <c r="H12" s="4" t="s">
        <v>95</v>
      </c>
      <c r="I12" s="4"/>
    </row>
    <row r="13" spans="1:9" x14ac:dyDescent="0.3">
      <c r="A13" s="14">
        <v>37.799999999999997</v>
      </c>
      <c r="C13">
        <f>59/71</f>
        <v>0.83098591549295775</v>
      </c>
      <c r="E13">
        <v>42.9</v>
      </c>
      <c r="F13">
        <v>6.6</v>
      </c>
      <c r="H13" s="1" t="s">
        <v>96</v>
      </c>
      <c r="I13" s="1">
        <v>0.75037465463215358</v>
      </c>
    </row>
    <row r="14" spans="1:9" x14ac:dyDescent="0.3">
      <c r="A14" s="14">
        <v>37.9</v>
      </c>
      <c r="E14">
        <v>41.9</v>
      </c>
      <c r="F14">
        <v>1.4</v>
      </c>
      <c r="H14" s="1" t="s">
        <v>97</v>
      </c>
      <c r="I14" s="1">
        <v>0.56306212231432384</v>
      </c>
    </row>
    <row r="15" spans="1:9" x14ac:dyDescent="0.3">
      <c r="A15" s="14">
        <v>37.9</v>
      </c>
      <c r="E15">
        <v>38.5</v>
      </c>
      <c r="F15">
        <v>-0.2</v>
      </c>
      <c r="H15" s="1" t="s">
        <v>98</v>
      </c>
      <c r="I15" s="1">
        <v>0.55623496797548511</v>
      </c>
    </row>
    <row r="16" spans="1:9" x14ac:dyDescent="0.3">
      <c r="A16" s="14">
        <v>38.5</v>
      </c>
      <c r="E16">
        <v>40.299999999999997</v>
      </c>
      <c r="F16">
        <v>2.1</v>
      </c>
      <c r="H16" s="1" t="s">
        <v>27</v>
      </c>
      <c r="I16" s="1">
        <v>2.6327596937632936</v>
      </c>
    </row>
    <row r="17" spans="1:16" ht="14" thickBot="1" x14ac:dyDescent="0.35">
      <c r="A17" s="14">
        <v>39.1</v>
      </c>
      <c r="E17">
        <v>42.8</v>
      </c>
      <c r="F17">
        <v>0.9</v>
      </c>
      <c r="H17" s="2" t="s">
        <v>99</v>
      </c>
      <c r="I17" s="2">
        <v>66</v>
      </c>
    </row>
    <row r="18" spans="1:16" x14ac:dyDescent="0.3">
      <c r="A18" s="14">
        <v>39.299999999999997</v>
      </c>
      <c r="E18">
        <v>37.6</v>
      </c>
      <c r="F18">
        <v>6.3</v>
      </c>
    </row>
    <row r="19" spans="1:16" ht="14" thickBot="1" x14ac:dyDescent="0.35">
      <c r="A19" s="14">
        <v>39.299999999999997</v>
      </c>
      <c r="E19">
        <v>44</v>
      </c>
      <c r="F19">
        <v>3.3</v>
      </c>
      <c r="H19" t="s">
        <v>100</v>
      </c>
    </row>
    <row r="20" spans="1:16" x14ac:dyDescent="0.3">
      <c r="A20" s="14">
        <v>39.799999999999997</v>
      </c>
      <c r="E20">
        <v>41.4</v>
      </c>
      <c r="F20">
        <v>1.1000000000000001</v>
      </c>
      <c r="H20" s="3"/>
      <c r="I20" s="3" t="s">
        <v>104</v>
      </c>
      <c r="J20" s="3" t="s">
        <v>105</v>
      </c>
      <c r="K20" s="3" t="s">
        <v>106</v>
      </c>
      <c r="L20" s="3" t="s">
        <v>79</v>
      </c>
      <c r="M20" s="3" t="s">
        <v>107</v>
      </c>
    </row>
    <row r="21" spans="1:16" x14ac:dyDescent="0.3">
      <c r="A21" s="14">
        <v>40.299999999999997</v>
      </c>
      <c r="E21">
        <v>37.9</v>
      </c>
      <c r="F21">
        <v>1.7</v>
      </c>
      <c r="H21" s="1" t="s">
        <v>101</v>
      </c>
      <c r="I21" s="1">
        <v>1</v>
      </c>
      <c r="J21" s="1">
        <v>571.66161654603366</v>
      </c>
      <c r="K21" s="1">
        <v>571.66161654603366</v>
      </c>
      <c r="L21" s="1">
        <v>82.473911437909805</v>
      </c>
      <c r="M21" s="1">
        <v>4.0769648652416897E-13</v>
      </c>
    </row>
    <row r="22" spans="1:16" x14ac:dyDescent="0.3">
      <c r="A22" s="14">
        <v>40.6</v>
      </c>
      <c r="E22">
        <v>41.6</v>
      </c>
      <c r="F22">
        <v>1.5</v>
      </c>
      <c r="H22" s="1" t="s">
        <v>102</v>
      </c>
      <c r="I22" s="1">
        <v>64</v>
      </c>
      <c r="J22" s="1">
        <v>443.61111072669388</v>
      </c>
      <c r="K22" s="1">
        <v>6.9314236051045919</v>
      </c>
      <c r="L22" s="1"/>
      <c r="M22" s="1"/>
    </row>
    <row r="23" spans="1:16" ht="14" thickBot="1" x14ac:dyDescent="0.35">
      <c r="A23" s="14">
        <v>40.9</v>
      </c>
      <c r="E23">
        <v>40.6</v>
      </c>
      <c r="F23">
        <v>7.5</v>
      </c>
      <c r="H23" s="2" t="s">
        <v>103</v>
      </c>
      <c r="I23" s="2">
        <v>65</v>
      </c>
      <c r="J23" s="2">
        <v>1015.2727272727275</v>
      </c>
      <c r="K23" s="2"/>
      <c r="L23" s="2"/>
      <c r="M23" s="2"/>
    </row>
    <row r="24" spans="1:16" ht="14" thickBot="1" x14ac:dyDescent="0.35">
      <c r="A24" s="14">
        <v>41.4</v>
      </c>
      <c r="E24">
        <v>40.9</v>
      </c>
      <c r="F24">
        <v>1.9</v>
      </c>
    </row>
    <row r="25" spans="1:16" x14ac:dyDescent="0.3">
      <c r="A25" s="14">
        <v>41.4</v>
      </c>
      <c r="E25">
        <v>43.2</v>
      </c>
      <c r="F25">
        <v>2.5</v>
      </c>
      <c r="H25" s="3"/>
      <c r="I25" s="3" t="s">
        <v>108</v>
      </c>
      <c r="J25" s="3" t="s">
        <v>27</v>
      </c>
      <c r="K25" s="3" t="s">
        <v>109</v>
      </c>
      <c r="L25" s="3" t="s">
        <v>110</v>
      </c>
      <c r="M25" s="3" t="s">
        <v>111</v>
      </c>
      <c r="N25" s="3" t="s">
        <v>112</v>
      </c>
      <c r="O25" s="3" t="s">
        <v>113</v>
      </c>
      <c r="P25" s="3" t="s">
        <v>114</v>
      </c>
    </row>
    <row r="26" spans="1:16" x14ac:dyDescent="0.3">
      <c r="A26" s="14">
        <v>41.5</v>
      </c>
      <c r="E26">
        <v>44.7</v>
      </c>
      <c r="F26">
        <v>0.4</v>
      </c>
      <c r="H26" s="1" t="s">
        <v>62</v>
      </c>
      <c r="I26" s="1">
        <v>21.634089626474996</v>
      </c>
      <c r="J26" s="1">
        <v>2.0921372165676089</v>
      </c>
      <c r="K26" s="1">
        <v>10.340664778177505</v>
      </c>
      <c r="L26" s="1">
        <v>2.771945218177034E-15</v>
      </c>
      <c r="M26" s="1">
        <v>17.454565068036203</v>
      </c>
      <c r="N26" s="1">
        <v>25.813614184913789</v>
      </c>
      <c r="O26" s="1">
        <v>17.454565068036203</v>
      </c>
      <c r="P26" s="1">
        <v>25.813614184913789</v>
      </c>
    </row>
    <row r="27" spans="1:16" ht="14" thickBot="1" x14ac:dyDescent="0.35">
      <c r="A27" s="14">
        <v>41.6</v>
      </c>
      <c r="E27">
        <v>43</v>
      </c>
      <c r="F27">
        <v>0.6</v>
      </c>
      <c r="H27" s="2" t="s">
        <v>115</v>
      </c>
      <c r="I27" s="2">
        <v>-0.44937968490545188</v>
      </c>
      <c r="J27" s="2">
        <v>4.948289946992316E-2</v>
      </c>
      <c r="K27" s="2">
        <v>-9.0815148206623419</v>
      </c>
      <c r="L27" s="2">
        <v>4.0769648652417483E-13</v>
      </c>
      <c r="M27" s="2">
        <v>-0.54823314055813877</v>
      </c>
      <c r="N27" s="2">
        <v>-0.350526229252765</v>
      </c>
      <c r="O27" s="2">
        <v>-0.54823314055813877</v>
      </c>
      <c r="P27" s="2">
        <v>-0.350526229252765</v>
      </c>
    </row>
    <row r="28" spans="1:16" x14ac:dyDescent="0.3">
      <c r="A28" s="14">
        <v>41.7</v>
      </c>
      <c r="E28">
        <v>46.8</v>
      </c>
      <c r="F28">
        <v>1.2</v>
      </c>
    </row>
    <row r="29" spans="1:16" x14ac:dyDescent="0.3">
      <c r="A29" s="14">
        <v>41.9</v>
      </c>
      <c r="E29">
        <v>42.1</v>
      </c>
      <c r="F29">
        <v>1</v>
      </c>
    </row>
    <row r="30" spans="1:16" x14ac:dyDescent="0.3">
      <c r="A30" s="14">
        <v>42</v>
      </c>
      <c r="E30">
        <v>42.9</v>
      </c>
      <c r="F30">
        <v>1.7</v>
      </c>
    </row>
    <row r="31" spans="1:16" x14ac:dyDescent="0.3">
      <c r="A31" s="14">
        <v>42.1</v>
      </c>
      <c r="E31">
        <v>45.2</v>
      </c>
      <c r="F31">
        <v>1.2</v>
      </c>
      <c r="H31" t="s">
        <v>117</v>
      </c>
    </row>
    <row r="32" spans="1:16" ht="14" thickBot="1" x14ac:dyDescent="0.35">
      <c r="A32" s="14">
        <v>42.3</v>
      </c>
      <c r="E32">
        <v>43.2</v>
      </c>
      <c r="F32">
        <v>0.5</v>
      </c>
    </row>
    <row r="33" spans="1:10" x14ac:dyDescent="0.3">
      <c r="A33" s="14">
        <v>42.5</v>
      </c>
      <c r="E33">
        <v>39.1</v>
      </c>
      <c r="F33">
        <v>1.9</v>
      </c>
      <c r="H33" s="3" t="s">
        <v>118</v>
      </c>
      <c r="I33" s="3" t="s">
        <v>119</v>
      </c>
      <c r="J33" s="3" t="s">
        <v>120</v>
      </c>
    </row>
    <row r="34" spans="1:10" x14ac:dyDescent="0.3">
      <c r="A34" s="14">
        <v>42.5</v>
      </c>
      <c r="E34">
        <v>44.7</v>
      </c>
      <c r="F34">
        <v>0.9</v>
      </c>
      <c r="H34" s="1">
        <v>1</v>
      </c>
      <c r="I34" s="1">
        <v>5.3216070644070932</v>
      </c>
      <c r="J34" s="1">
        <v>-2.7216070644070931</v>
      </c>
    </row>
    <row r="35" spans="1:10" x14ac:dyDescent="0.3">
      <c r="A35" s="14">
        <v>42.8</v>
      </c>
      <c r="E35">
        <v>41.4</v>
      </c>
      <c r="F35">
        <v>0.1</v>
      </c>
      <c r="H35" s="1">
        <v>2</v>
      </c>
      <c r="I35" s="1">
        <v>8.7818306381790716</v>
      </c>
      <c r="J35" s="1">
        <v>3.1181693618209287</v>
      </c>
    </row>
    <row r="36" spans="1:10" x14ac:dyDescent="0.3">
      <c r="A36" s="14">
        <v>42.9</v>
      </c>
      <c r="E36">
        <v>45</v>
      </c>
      <c r="F36">
        <v>1.6</v>
      </c>
      <c r="H36" s="1">
        <v>3</v>
      </c>
      <c r="I36" s="1">
        <v>3.9734680096907375</v>
      </c>
      <c r="J36" s="1">
        <v>1.9265319903092628</v>
      </c>
    </row>
    <row r="37" spans="1:10" x14ac:dyDescent="0.3">
      <c r="A37" s="14">
        <v>42.9</v>
      </c>
      <c r="E37">
        <v>42</v>
      </c>
      <c r="F37">
        <v>1.1000000000000001</v>
      </c>
      <c r="H37" s="1">
        <v>4</v>
      </c>
      <c r="I37" s="1">
        <v>10.579349377800879</v>
      </c>
      <c r="J37" s="1">
        <v>8.8206506221991194</v>
      </c>
    </row>
    <row r="38" spans="1:10" x14ac:dyDescent="0.3">
      <c r="A38" s="14">
        <v>42.9</v>
      </c>
      <c r="E38">
        <v>41.7</v>
      </c>
      <c r="F38">
        <v>3</v>
      </c>
      <c r="H38" s="1">
        <v>5</v>
      </c>
      <c r="I38" s="1">
        <v>6.5798701821423577</v>
      </c>
      <c r="J38" s="1">
        <v>-2.8798701821423576</v>
      </c>
    </row>
    <row r="39" spans="1:10" x14ac:dyDescent="0.3">
      <c r="A39" s="14">
        <v>43</v>
      </c>
      <c r="E39">
        <v>39.799999999999997</v>
      </c>
      <c r="F39">
        <v>0.8</v>
      </c>
      <c r="H39" s="1">
        <v>6</v>
      </c>
      <c r="I39" s="1">
        <v>4.6924755055394591</v>
      </c>
      <c r="J39" s="1">
        <v>-1.3924755055394593</v>
      </c>
    </row>
    <row r="40" spans="1:10" x14ac:dyDescent="0.3">
      <c r="A40" s="14">
        <v>43</v>
      </c>
      <c r="E40">
        <v>45.2</v>
      </c>
      <c r="F40">
        <v>0.2</v>
      </c>
      <c r="H40" s="1">
        <v>7</v>
      </c>
      <c r="I40" s="1">
        <v>2.3557011440311122</v>
      </c>
      <c r="J40" s="1">
        <v>1.1442988559688878</v>
      </c>
    </row>
    <row r="41" spans="1:10" x14ac:dyDescent="0.3">
      <c r="A41" s="14">
        <v>43.2</v>
      </c>
      <c r="E41">
        <v>47.9</v>
      </c>
      <c r="F41">
        <v>2.1</v>
      </c>
      <c r="H41" s="1">
        <v>8</v>
      </c>
      <c r="I41" s="1">
        <v>4.6025995685583716</v>
      </c>
      <c r="J41" s="1">
        <v>-1.8025995685583718</v>
      </c>
    </row>
    <row r="42" spans="1:10" x14ac:dyDescent="0.3">
      <c r="A42" s="14">
        <v>43.2</v>
      </c>
      <c r="E42">
        <v>43.8</v>
      </c>
      <c r="F42">
        <v>-0.3</v>
      </c>
      <c r="H42" s="1">
        <v>9</v>
      </c>
      <c r="I42" s="1">
        <v>2.3107631755405649</v>
      </c>
      <c r="J42" s="1">
        <v>-1.910763175540565</v>
      </c>
    </row>
    <row r="43" spans="1:10" x14ac:dyDescent="0.3">
      <c r="A43" s="14">
        <v>43.5</v>
      </c>
      <c r="E43">
        <v>44.1</v>
      </c>
      <c r="F43">
        <v>0.9</v>
      </c>
      <c r="H43" s="1">
        <v>10</v>
      </c>
      <c r="I43" s="1">
        <v>7.6134434574248981</v>
      </c>
      <c r="J43" s="1">
        <v>-4.8134434574248983</v>
      </c>
    </row>
    <row r="44" spans="1:10" x14ac:dyDescent="0.3">
      <c r="A44" s="14">
        <v>43.8</v>
      </c>
      <c r="E44">
        <v>47.4</v>
      </c>
      <c r="F44">
        <v>3.2</v>
      </c>
      <c r="H44" s="1">
        <v>11</v>
      </c>
      <c r="I44" s="1">
        <v>4.6475375370489154</v>
      </c>
      <c r="J44" s="1">
        <v>-1.9475375370489152</v>
      </c>
    </row>
    <row r="45" spans="1:10" x14ac:dyDescent="0.3">
      <c r="A45" s="14">
        <v>44</v>
      </c>
      <c r="E45">
        <v>50</v>
      </c>
      <c r="F45">
        <v>3</v>
      </c>
      <c r="H45" s="1">
        <v>12</v>
      </c>
      <c r="I45" s="1">
        <v>2.3557011440311122</v>
      </c>
      <c r="J45" s="1">
        <v>4.2442988559688875</v>
      </c>
    </row>
    <row r="46" spans="1:10" x14ac:dyDescent="0.3">
      <c r="A46" s="14">
        <v>44.1</v>
      </c>
      <c r="E46">
        <v>47.8</v>
      </c>
      <c r="F46">
        <v>0.7</v>
      </c>
      <c r="H46" s="1">
        <v>13</v>
      </c>
      <c r="I46" s="1">
        <v>2.8050808289365641</v>
      </c>
      <c r="J46" s="1">
        <v>-1.4050808289365642</v>
      </c>
    </row>
    <row r="47" spans="1:10" x14ac:dyDescent="0.3">
      <c r="A47" s="14">
        <v>44.3</v>
      </c>
      <c r="E47">
        <v>44.6</v>
      </c>
      <c r="F47">
        <v>0.1</v>
      </c>
      <c r="H47" s="1">
        <v>14</v>
      </c>
      <c r="I47" s="1">
        <v>4.3329717576150983</v>
      </c>
      <c r="J47" s="1">
        <v>-4.5329717576150985</v>
      </c>
    </row>
    <row r="48" spans="1:10" x14ac:dyDescent="0.3">
      <c r="A48" s="14">
        <v>44.6</v>
      </c>
      <c r="E48">
        <v>50.4</v>
      </c>
      <c r="F48">
        <v>3.1</v>
      </c>
      <c r="H48" s="1">
        <v>15</v>
      </c>
      <c r="I48" s="1">
        <v>3.5240883247852857</v>
      </c>
      <c r="J48" s="1">
        <v>-1.4240883247852856</v>
      </c>
    </row>
    <row r="49" spans="1:10" x14ac:dyDescent="0.3">
      <c r="A49" s="14">
        <v>44.7</v>
      </c>
      <c r="E49">
        <v>47.6</v>
      </c>
      <c r="F49">
        <v>-1.5</v>
      </c>
      <c r="H49" s="1">
        <v>16</v>
      </c>
      <c r="I49" s="1">
        <v>2.400639112521656</v>
      </c>
      <c r="J49" s="1">
        <v>-1.500639112521656</v>
      </c>
    </row>
    <row r="50" spans="1:10" x14ac:dyDescent="0.3">
      <c r="A50" s="14">
        <v>44.7</v>
      </c>
      <c r="E50">
        <v>47.7</v>
      </c>
      <c r="F50">
        <v>4.0999999999999996</v>
      </c>
      <c r="H50" s="1">
        <v>17</v>
      </c>
      <c r="I50" s="1">
        <v>4.7374134740300029</v>
      </c>
      <c r="J50" s="1">
        <v>1.5625865259699969</v>
      </c>
    </row>
    <row r="51" spans="1:10" x14ac:dyDescent="0.3">
      <c r="A51" s="14">
        <v>45</v>
      </c>
      <c r="E51">
        <v>42.5</v>
      </c>
      <c r="F51">
        <v>0.6</v>
      </c>
      <c r="H51" s="1">
        <v>18</v>
      </c>
      <c r="I51" s="1">
        <v>1.861383490635113</v>
      </c>
      <c r="J51" s="1">
        <v>1.4386165093648868</v>
      </c>
    </row>
    <row r="52" spans="1:10" x14ac:dyDescent="0.3">
      <c r="A52" s="14">
        <v>45.2</v>
      </c>
      <c r="E52">
        <v>42.5</v>
      </c>
      <c r="F52">
        <v>1.1000000000000001</v>
      </c>
      <c r="H52" s="1">
        <v>19</v>
      </c>
      <c r="I52" s="1">
        <v>3.02977067138929</v>
      </c>
      <c r="J52" s="1">
        <v>-1.9297706713892899</v>
      </c>
    </row>
    <row r="53" spans="1:10" x14ac:dyDescent="0.3">
      <c r="A53" s="14">
        <v>45.2</v>
      </c>
      <c r="E53">
        <v>45.9</v>
      </c>
      <c r="F53">
        <v>2.8</v>
      </c>
      <c r="H53" s="1">
        <v>20</v>
      </c>
      <c r="I53" s="1">
        <v>4.6025995685583716</v>
      </c>
      <c r="J53" s="1">
        <v>-2.9025995685583714</v>
      </c>
    </row>
    <row r="54" spans="1:10" x14ac:dyDescent="0.3">
      <c r="A54" s="14">
        <v>45.4</v>
      </c>
      <c r="E54">
        <v>46.6</v>
      </c>
      <c r="F54">
        <v>1.7</v>
      </c>
      <c r="H54" s="1">
        <v>21</v>
      </c>
      <c r="I54" s="1">
        <v>2.9398947344081954</v>
      </c>
      <c r="J54" s="1">
        <v>-1.4398947344081954</v>
      </c>
    </row>
    <row r="55" spans="1:10" x14ac:dyDescent="0.3">
      <c r="A55" s="14">
        <v>45.9</v>
      </c>
      <c r="E55">
        <v>47.5</v>
      </c>
      <c r="F55">
        <v>-0.5</v>
      </c>
      <c r="H55" s="1">
        <v>22</v>
      </c>
      <c r="I55" s="1">
        <v>3.3892744193136473</v>
      </c>
      <c r="J55" s="1">
        <v>4.1107255806863527</v>
      </c>
    </row>
    <row r="56" spans="1:10" x14ac:dyDescent="0.3">
      <c r="A56" s="14">
        <v>46</v>
      </c>
      <c r="E56">
        <v>46</v>
      </c>
      <c r="F56">
        <v>0</v>
      </c>
      <c r="H56" s="1">
        <v>23</v>
      </c>
      <c r="I56" s="1">
        <v>3.254460513842016</v>
      </c>
      <c r="J56" s="1">
        <v>-1.354460513842016</v>
      </c>
    </row>
    <row r="57" spans="1:10" x14ac:dyDescent="0.3">
      <c r="A57" s="14">
        <v>46.1</v>
      </c>
      <c r="E57">
        <v>48.2</v>
      </c>
      <c r="F57">
        <v>0.6</v>
      </c>
      <c r="H57" s="1">
        <v>24</v>
      </c>
      <c r="I57" s="1">
        <v>2.2208872385594738</v>
      </c>
      <c r="J57" s="1">
        <v>0.27911276144052621</v>
      </c>
    </row>
    <row r="58" spans="1:10" x14ac:dyDescent="0.3">
      <c r="A58" s="14">
        <v>46.6</v>
      </c>
      <c r="E58">
        <v>45.4</v>
      </c>
      <c r="F58">
        <v>0.2</v>
      </c>
      <c r="H58" s="1">
        <v>25</v>
      </c>
      <c r="I58" s="1">
        <v>1.546817711201296</v>
      </c>
      <c r="J58" s="1">
        <v>-1.1468177112012961</v>
      </c>
    </row>
    <row r="59" spans="1:10" x14ac:dyDescent="0.3">
      <c r="A59" s="14">
        <v>46.8</v>
      </c>
      <c r="E59">
        <v>53.1</v>
      </c>
      <c r="F59">
        <v>0.5</v>
      </c>
      <c r="H59" s="1">
        <v>26</v>
      </c>
      <c r="I59" s="1">
        <v>2.3107631755405649</v>
      </c>
      <c r="J59" s="1">
        <v>-1.7107631755405648</v>
      </c>
    </row>
    <row r="60" spans="1:10" x14ac:dyDescent="0.3">
      <c r="A60" s="14">
        <v>47.4</v>
      </c>
      <c r="E60">
        <v>49.7</v>
      </c>
      <c r="F60">
        <v>-1</v>
      </c>
      <c r="H60" s="1">
        <v>27</v>
      </c>
      <c r="I60" s="1">
        <v>0.60312037289984843</v>
      </c>
      <c r="J60" s="1">
        <v>0.59687962710015152</v>
      </c>
    </row>
    <row r="61" spans="1:10" x14ac:dyDescent="0.3">
      <c r="A61" s="14">
        <v>47.5</v>
      </c>
      <c r="E61">
        <v>44.3</v>
      </c>
      <c r="F61">
        <v>0.8</v>
      </c>
      <c r="H61" s="1">
        <v>28</v>
      </c>
      <c r="I61" s="1">
        <v>2.7152048919554694</v>
      </c>
      <c r="J61" s="1">
        <v>-1.7152048919554694</v>
      </c>
    </row>
    <row r="62" spans="1:10" x14ac:dyDescent="0.3">
      <c r="A62" s="14">
        <v>47.6</v>
      </c>
      <c r="E62">
        <v>53.3</v>
      </c>
      <c r="F62">
        <v>0.7</v>
      </c>
      <c r="H62" s="1">
        <v>29</v>
      </c>
      <c r="I62" s="1">
        <v>2.3557011440311122</v>
      </c>
      <c r="J62" s="1">
        <v>-0.65570114403111224</v>
      </c>
    </row>
    <row r="63" spans="1:10" x14ac:dyDescent="0.3">
      <c r="A63" s="14">
        <v>47.7</v>
      </c>
      <c r="E63">
        <v>18</v>
      </c>
      <c r="F63">
        <v>11.9</v>
      </c>
      <c r="H63" s="1">
        <v>30</v>
      </c>
      <c r="I63" s="1">
        <v>1.32212786874857</v>
      </c>
      <c r="J63" s="1">
        <v>-0.12212786874857007</v>
      </c>
    </row>
    <row r="64" spans="1:10" x14ac:dyDescent="0.3">
      <c r="A64" s="14">
        <v>47.8</v>
      </c>
      <c r="E64">
        <v>22.3</v>
      </c>
      <c r="F64">
        <v>14.1</v>
      </c>
      <c r="H64" s="1">
        <v>31</v>
      </c>
      <c r="I64" s="1">
        <v>2.2208872385594738</v>
      </c>
      <c r="J64" s="1">
        <v>-1.7208872385594738</v>
      </c>
    </row>
    <row r="65" spans="1:10" x14ac:dyDescent="0.3">
      <c r="A65" s="14">
        <v>47.9</v>
      </c>
      <c r="E65">
        <v>29</v>
      </c>
      <c r="F65">
        <v>15.7</v>
      </c>
      <c r="H65" s="1">
        <v>32</v>
      </c>
      <c r="I65" s="1">
        <v>4.0633439466718251</v>
      </c>
      <c r="J65" s="1">
        <v>-2.1633439466718252</v>
      </c>
    </row>
    <row r="66" spans="1:10" x14ac:dyDescent="0.3">
      <c r="A66" s="14">
        <v>48.2</v>
      </c>
      <c r="E66">
        <v>36.5</v>
      </c>
      <c r="F66">
        <v>5.2</v>
      </c>
      <c r="H66" s="1">
        <v>33</v>
      </c>
      <c r="I66" s="1">
        <v>1.546817711201296</v>
      </c>
      <c r="J66" s="1">
        <v>-0.64681771120129594</v>
      </c>
    </row>
    <row r="67" spans="1:10" x14ac:dyDescent="0.3">
      <c r="A67" s="14">
        <v>49.7</v>
      </c>
      <c r="E67">
        <v>41.5</v>
      </c>
      <c r="F67">
        <v>7.4</v>
      </c>
      <c r="H67" s="1">
        <v>34</v>
      </c>
      <c r="I67" s="1">
        <v>3.02977067138929</v>
      </c>
      <c r="J67" s="1">
        <v>-2.9297706713892899</v>
      </c>
    </row>
    <row r="68" spans="1:10" x14ac:dyDescent="0.3">
      <c r="A68" s="14">
        <v>50</v>
      </c>
      <c r="H68" s="1">
        <v>35</v>
      </c>
      <c r="I68" s="1">
        <v>1.4120038057296611</v>
      </c>
      <c r="J68" s="1">
        <v>0.18799619427033898</v>
      </c>
    </row>
    <row r="69" spans="1:10" x14ac:dyDescent="0.3">
      <c r="A69" s="14">
        <v>50.4</v>
      </c>
      <c r="H69" s="1">
        <v>36</v>
      </c>
      <c r="I69" s="1">
        <v>2.7601428604460168</v>
      </c>
      <c r="J69" s="1">
        <v>-1.6601428604460167</v>
      </c>
    </row>
    <row r="70" spans="1:10" x14ac:dyDescent="0.3">
      <c r="A70" s="14">
        <v>53.1</v>
      </c>
      <c r="H70" s="1">
        <v>37</v>
      </c>
      <c r="I70" s="1">
        <v>2.8949567659176516</v>
      </c>
      <c r="J70" s="1">
        <v>0.10504323408234839</v>
      </c>
    </row>
    <row r="71" spans="1:10" x14ac:dyDescent="0.3">
      <c r="A71" s="14">
        <v>53.3</v>
      </c>
      <c r="H71" s="1">
        <v>38</v>
      </c>
      <c r="I71" s="1">
        <v>3.7487781672380116</v>
      </c>
      <c r="J71" s="1">
        <v>-2.9487781672380118</v>
      </c>
    </row>
    <row r="72" spans="1:10" x14ac:dyDescent="0.3">
      <c r="H72" s="1">
        <v>39</v>
      </c>
      <c r="I72" s="1">
        <v>1.32212786874857</v>
      </c>
      <c r="J72" s="1">
        <v>-1.1221278687485701</v>
      </c>
    </row>
    <row r="73" spans="1:10" x14ac:dyDescent="0.3">
      <c r="H73" s="1">
        <v>40</v>
      </c>
      <c r="I73" s="1">
        <v>0.10880271950385279</v>
      </c>
      <c r="J73" s="1">
        <v>1.9911972804961473</v>
      </c>
    </row>
    <row r="74" spans="1:10" x14ac:dyDescent="0.3">
      <c r="H74" s="1">
        <v>41</v>
      </c>
      <c r="I74" s="1">
        <v>1.9512594276162041</v>
      </c>
      <c r="J74" s="1">
        <v>-2.2512594276162039</v>
      </c>
    </row>
    <row r="75" spans="1:10" x14ac:dyDescent="0.3">
      <c r="H75" s="1">
        <v>42</v>
      </c>
      <c r="I75" s="1">
        <v>1.8164455221445657</v>
      </c>
      <c r="J75" s="1">
        <v>-0.91644552214456565</v>
      </c>
    </row>
    <row r="76" spans="1:10" x14ac:dyDescent="0.3">
      <c r="H76" s="1">
        <v>43</v>
      </c>
      <c r="I76" s="1">
        <v>0.33349256195657873</v>
      </c>
      <c r="J76" s="1">
        <v>2.8665074380434215</v>
      </c>
    </row>
    <row r="77" spans="1:10" x14ac:dyDescent="0.3">
      <c r="H77" s="1">
        <v>44</v>
      </c>
      <c r="I77" s="1">
        <v>-0.8348946187975983</v>
      </c>
      <c r="J77" s="1">
        <v>3.8348946187975983</v>
      </c>
    </row>
    <row r="78" spans="1:10" x14ac:dyDescent="0.3">
      <c r="H78" s="1">
        <v>45</v>
      </c>
      <c r="I78" s="1">
        <v>0.15374068799439655</v>
      </c>
      <c r="J78" s="1">
        <v>0.5462593120056034</v>
      </c>
    </row>
    <row r="79" spans="1:10" x14ac:dyDescent="0.3">
      <c r="H79" s="1">
        <v>46</v>
      </c>
      <c r="I79" s="1">
        <v>1.5917556796918397</v>
      </c>
      <c r="J79" s="1">
        <v>-1.4917556796918396</v>
      </c>
    </row>
    <row r="80" spans="1:10" x14ac:dyDescent="0.3">
      <c r="H80" s="1">
        <v>47</v>
      </c>
      <c r="I80" s="1">
        <v>-1.0146464927597769</v>
      </c>
      <c r="J80" s="1">
        <v>4.1146464927597766</v>
      </c>
    </row>
    <row r="81" spans="8:10" x14ac:dyDescent="0.3">
      <c r="H81" s="1">
        <v>48</v>
      </c>
      <c r="I81" s="1">
        <v>0.24361662497548409</v>
      </c>
      <c r="J81" s="1">
        <v>-1.7436166249754841</v>
      </c>
    </row>
    <row r="82" spans="8:10" x14ac:dyDescent="0.3">
      <c r="H82" s="1">
        <v>49</v>
      </c>
      <c r="I82" s="1">
        <v>0.19867865648494032</v>
      </c>
      <c r="J82" s="1">
        <v>3.9013213435150593</v>
      </c>
    </row>
    <row r="83" spans="8:10" x14ac:dyDescent="0.3">
      <c r="H83" s="1">
        <v>50</v>
      </c>
      <c r="I83" s="1">
        <v>2.5354530179932908</v>
      </c>
      <c r="J83" s="1">
        <v>-1.9354530179932907</v>
      </c>
    </row>
    <row r="84" spans="8:10" x14ac:dyDescent="0.3">
      <c r="H84" s="1">
        <v>51</v>
      </c>
      <c r="I84" s="1">
        <v>2.5354530179932908</v>
      </c>
      <c r="J84" s="1">
        <v>-1.4354530179932907</v>
      </c>
    </row>
    <row r="85" spans="8:10" x14ac:dyDescent="0.3">
      <c r="H85" s="1">
        <v>52</v>
      </c>
      <c r="I85" s="1">
        <v>1.0075620893147565</v>
      </c>
      <c r="J85" s="1">
        <v>1.7924379106852433</v>
      </c>
    </row>
    <row r="86" spans="8:10" x14ac:dyDescent="0.3">
      <c r="H86" s="1">
        <v>53</v>
      </c>
      <c r="I86" s="1">
        <v>0.69299630988093597</v>
      </c>
      <c r="J86" s="1">
        <v>1.007003690119064</v>
      </c>
    </row>
    <row r="87" spans="8:10" x14ac:dyDescent="0.3">
      <c r="H87" s="1">
        <v>54</v>
      </c>
      <c r="I87" s="1">
        <v>0.28855459346603141</v>
      </c>
      <c r="J87" s="1">
        <v>-0.78855459346603141</v>
      </c>
    </row>
    <row r="88" spans="8:10" x14ac:dyDescent="0.3">
      <c r="H88" s="1">
        <v>55</v>
      </c>
      <c r="I88" s="1">
        <v>0.96262412082420923</v>
      </c>
      <c r="J88" s="1">
        <v>-0.96262412082420923</v>
      </c>
    </row>
    <row r="89" spans="8:10" x14ac:dyDescent="0.3">
      <c r="H89" s="1">
        <v>56</v>
      </c>
      <c r="I89" s="1">
        <v>-2.6011185967785622E-2</v>
      </c>
      <c r="J89" s="1">
        <v>0.6260111859677856</v>
      </c>
    </row>
    <row r="90" spans="8:10" x14ac:dyDescent="0.3">
      <c r="H90" s="1">
        <v>57</v>
      </c>
      <c r="I90" s="1">
        <v>1.2322519317674825</v>
      </c>
      <c r="J90" s="1">
        <v>-1.0322519317674825</v>
      </c>
    </row>
    <row r="91" spans="8:10" x14ac:dyDescent="0.3">
      <c r="H91" s="1">
        <v>58</v>
      </c>
      <c r="I91" s="1">
        <v>-2.2279716420045013</v>
      </c>
      <c r="J91" s="1">
        <v>2.7279716420045013</v>
      </c>
    </row>
    <row r="92" spans="8:10" x14ac:dyDescent="0.3">
      <c r="H92" s="1">
        <v>59</v>
      </c>
      <c r="I92" s="1">
        <v>-0.70008071332596344</v>
      </c>
      <c r="J92" s="1">
        <v>-0.29991928667403656</v>
      </c>
    </row>
    <row r="93" spans="8:10" x14ac:dyDescent="0.3">
      <c r="H93" s="1">
        <v>60</v>
      </c>
      <c r="I93" s="1">
        <v>1.7265695851634781</v>
      </c>
      <c r="J93" s="1">
        <v>-0.92656958516347809</v>
      </c>
    </row>
    <row r="94" spans="8:10" x14ac:dyDescent="0.3">
      <c r="H94" s="1">
        <v>61</v>
      </c>
      <c r="I94" s="1">
        <v>-2.3178475789855888</v>
      </c>
      <c r="J94" s="1">
        <v>3.017847578985589</v>
      </c>
    </row>
    <row r="95" spans="8:10" x14ac:dyDescent="0.3">
      <c r="H95" s="1">
        <v>62</v>
      </c>
      <c r="I95" s="1">
        <v>13.545255298176862</v>
      </c>
      <c r="J95" s="1">
        <v>-1.6452552981768616</v>
      </c>
    </row>
    <row r="96" spans="8:10" x14ac:dyDescent="0.3">
      <c r="H96" s="1">
        <v>63</v>
      </c>
      <c r="I96" s="1">
        <v>11.612922653083418</v>
      </c>
      <c r="J96" s="1">
        <v>2.4870773469165819</v>
      </c>
    </row>
    <row r="97" spans="8:10" x14ac:dyDescent="0.3">
      <c r="H97" s="1">
        <v>64</v>
      </c>
      <c r="I97" s="1">
        <v>8.6020787642168912</v>
      </c>
      <c r="J97" s="1">
        <v>7.0979212357831081</v>
      </c>
    </row>
    <row r="98" spans="8:10" x14ac:dyDescent="0.3">
      <c r="H98" s="1">
        <v>65</v>
      </c>
      <c r="I98" s="1">
        <v>5.2317311274260021</v>
      </c>
      <c r="J98" s="1">
        <v>-3.1731127426001926E-2</v>
      </c>
    </row>
    <row r="99" spans="8:10" ht="14" thickBot="1" x14ac:dyDescent="0.35">
      <c r="H99" s="2">
        <v>66</v>
      </c>
      <c r="I99" s="2">
        <v>2.9848327028987427</v>
      </c>
      <c r="J99" s="2">
        <v>4.4151672971012577</v>
      </c>
    </row>
  </sheetData>
  <sortState ref="A1:A72">
    <sortCondition ref="A4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workbookViewId="0">
      <selection activeCell="D3" sqref="D3:L91"/>
    </sheetView>
  </sheetViews>
  <sheetFormatPr defaultRowHeight="13.5" x14ac:dyDescent="0.3"/>
  <sheetData>
    <row r="1" spans="1:9" x14ac:dyDescent="0.3">
      <c r="A1" t="s">
        <v>1</v>
      </c>
      <c r="B1" t="s">
        <v>3</v>
      </c>
    </row>
    <row r="2" spans="1:9" x14ac:dyDescent="0.3">
      <c r="A2">
        <v>57.5</v>
      </c>
      <c r="B2">
        <v>-1.5</v>
      </c>
    </row>
    <row r="3" spans="1:9" x14ac:dyDescent="0.3">
      <c r="A3">
        <v>50.4</v>
      </c>
      <c r="B3">
        <v>-0.2</v>
      </c>
      <c r="D3" t="s">
        <v>94</v>
      </c>
    </row>
    <row r="4" spans="1:9" ht="14" thickBot="1" x14ac:dyDescent="0.35">
      <c r="A4">
        <v>54.9</v>
      </c>
      <c r="B4">
        <v>-0.1</v>
      </c>
    </row>
    <row r="5" spans="1:9" x14ac:dyDescent="0.3">
      <c r="A5">
        <v>56</v>
      </c>
      <c r="B5">
        <v>0.2</v>
      </c>
      <c r="D5" s="4" t="s">
        <v>95</v>
      </c>
      <c r="E5" s="4"/>
    </row>
    <row r="6" spans="1:9" x14ac:dyDescent="0.3">
      <c r="A6">
        <v>54</v>
      </c>
      <c r="B6">
        <v>0.3</v>
      </c>
      <c r="D6" s="1" t="s">
        <v>96</v>
      </c>
      <c r="E6" s="1">
        <v>0.72657514539837509</v>
      </c>
    </row>
    <row r="7" spans="1:9" x14ac:dyDescent="0.3">
      <c r="A7">
        <v>52.6</v>
      </c>
      <c r="B7">
        <v>0.4</v>
      </c>
      <c r="D7" s="1" t="s">
        <v>97</v>
      </c>
      <c r="E7" s="1">
        <v>0.52791144191066997</v>
      </c>
    </row>
    <row r="8" spans="1:9" x14ac:dyDescent="0.3">
      <c r="A8">
        <v>53.8</v>
      </c>
      <c r="B8">
        <v>0.5</v>
      </c>
      <c r="D8" s="1" t="s">
        <v>98</v>
      </c>
      <c r="E8" s="1">
        <v>0.52041797273464885</v>
      </c>
    </row>
    <row r="9" spans="1:9" x14ac:dyDescent="0.3">
      <c r="A9">
        <v>56</v>
      </c>
      <c r="B9">
        <v>0.5</v>
      </c>
      <c r="D9" s="1" t="s">
        <v>27</v>
      </c>
      <c r="E9" s="1">
        <v>2.5966841977032304</v>
      </c>
    </row>
    <row r="10" spans="1:9" ht="14" thickBot="1" x14ac:dyDescent="0.35">
      <c r="A10">
        <v>59.4</v>
      </c>
      <c r="B10">
        <v>0.5</v>
      </c>
      <c r="D10" s="2" t="s">
        <v>99</v>
      </c>
      <c r="E10" s="2">
        <v>65</v>
      </c>
    </row>
    <row r="11" spans="1:9" x14ac:dyDescent="0.3">
      <c r="A11">
        <v>58.2</v>
      </c>
      <c r="B11">
        <v>0.6</v>
      </c>
    </row>
    <row r="12" spans="1:9" ht="14" thickBot="1" x14ac:dyDescent="0.35">
      <c r="A12">
        <v>53.4</v>
      </c>
      <c r="B12">
        <v>0.6</v>
      </c>
      <c r="D12" t="s">
        <v>100</v>
      </c>
    </row>
    <row r="13" spans="1:9" x14ac:dyDescent="0.3">
      <c r="A13">
        <v>56.7</v>
      </c>
      <c r="B13">
        <v>0.7</v>
      </c>
      <c r="D13" s="3"/>
      <c r="E13" s="3" t="s">
        <v>104</v>
      </c>
      <c r="F13" s="3" t="s">
        <v>105</v>
      </c>
      <c r="G13" s="3" t="s">
        <v>106</v>
      </c>
      <c r="H13" s="3" t="s">
        <v>79</v>
      </c>
      <c r="I13" s="3" t="s">
        <v>107</v>
      </c>
    </row>
    <row r="14" spans="1:9" x14ac:dyDescent="0.3">
      <c r="A14">
        <v>54.9</v>
      </c>
      <c r="B14">
        <v>0.8</v>
      </c>
      <c r="D14" s="1" t="s">
        <v>101</v>
      </c>
      <c r="E14" s="1">
        <v>1</v>
      </c>
      <c r="F14" s="1">
        <v>475.0249487914794</v>
      </c>
      <c r="G14" s="1">
        <v>475.0249487914794</v>
      </c>
      <c r="H14" s="1">
        <v>70.449538059083721</v>
      </c>
      <c r="I14" s="1">
        <v>7.331908160238391E-12</v>
      </c>
    </row>
    <row r="15" spans="1:9" x14ac:dyDescent="0.3">
      <c r="A15">
        <v>56.9</v>
      </c>
      <c r="B15">
        <v>0.8</v>
      </c>
      <c r="D15" s="1" t="s">
        <v>102</v>
      </c>
      <c r="E15" s="1">
        <v>63</v>
      </c>
      <c r="F15" s="1">
        <v>424.79443582390519</v>
      </c>
      <c r="G15" s="1">
        <v>6.7427688226016693</v>
      </c>
      <c r="H15" s="1"/>
      <c r="I15" s="1"/>
    </row>
    <row r="16" spans="1:9" ht="14" thickBot="1" x14ac:dyDescent="0.35">
      <c r="A16">
        <v>55.3</v>
      </c>
      <c r="B16">
        <v>0.9</v>
      </c>
      <c r="D16" s="2" t="s">
        <v>103</v>
      </c>
      <c r="E16" s="2">
        <v>64</v>
      </c>
      <c r="F16" s="2">
        <v>899.81938461538459</v>
      </c>
      <c r="G16" s="2"/>
      <c r="H16" s="2"/>
      <c r="I16" s="2"/>
    </row>
    <row r="17" spans="1:12" ht="14" thickBot="1" x14ac:dyDescent="0.35">
      <c r="A17">
        <v>65.099999999999994</v>
      </c>
      <c r="B17">
        <v>1</v>
      </c>
    </row>
    <row r="18" spans="1:12" x14ac:dyDescent="0.3">
      <c r="A18">
        <v>53.2</v>
      </c>
      <c r="B18">
        <v>1.1000000000000001</v>
      </c>
      <c r="D18" s="3"/>
      <c r="E18" s="3" t="s">
        <v>108</v>
      </c>
      <c r="F18" s="3" t="s">
        <v>27</v>
      </c>
      <c r="G18" s="3" t="s">
        <v>109</v>
      </c>
      <c r="H18" s="3" t="s">
        <v>110</v>
      </c>
      <c r="I18" s="3" t="s">
        <v>111</v>
      </c>
      <c r="J18" s="3" t="s">
        <v>112</v>
      </c>
      <c r="K18" s="3" t="s">
        <v>113</v>
      </c>
      <c r="L18" s="3" t="s">
        <v>114</v>
      </c>
    </row>
    <row r="19" spans="1:12" x14ac:dyDescent="0.3">
      <c r="A19">
        <v>65</v>
      </c>
      <c r="B19">
        <v>1.1000000000000001</v>
      </c>
      <c r="D19" s="1" t="s">
        <v>62</v>
      </c>
      <c r="E19" s="1">
        <v>22.846249941448903</v>
      </c>
      <c r="F19" s="1">
        <v>2.4095844311080734</v>
      </c>
      <c r="G19" s="1">
        <v>9.4814066884316688</v>
      </c>
      <c r="H19" s="1">
        <v>9.593130434821544E-14</v>
      </c>
      <c r="I19" s="1">
        <v>18.031079682138863</v>
      </c>
      <c r="J19" s="1">
        <v>27.661420200758943</v>
      </c>
      <c r="K19" s="1">
        <v>18.031079682138863</v>
      </c>
      <c r="L19" s="1">
        <v>27.661420200758943</v>
      </c>
    </row>
    <row r="20" spans="1:12" ht="14" thickBot="1" x14ac:dyDescent="0.35">
      <c r="A20">
        <v>59.3</v>
      </c>
      <c r="B20">
        <v>1.2</v>
      </c>
      <c r="D20" s="2" t="s">
        <v>115</v>
      </c>
      <c r="E20" s="2">
        <v>-0.37878881380304086</v>
      </c>
      <c r="F20" s="2">
        <v>4.5129245241462973E-2</v>
      </c>
      <c r="G20" s="2">
        <v>-8.3934223091110916</v>
      </c>
      <c r="H20" s="2">
        <v>7.3319081602383377E-12</v>
      </c>
      <c r="I20" s="2">
        <v>-0.46897241422241753</v>
      </c>
      <c r="J20" s="2">
        <v>-0.28860521338366418</v>
      </c>
      <c r="K20" s="2">
        <v>-0.46897241422241753</v>
      </c>
      <c r="L20" s="2">
        <v>-0.28860521338366418</v>
      </c>
    </row>
    <row r="21" spans="1:12" x14ac:dyDescent="0.3">
      <c r="A21">
        <v>60.6</v>
      </c>
      <c r="B21">
        <v>1.2</v>
      </c>
    </row>
    <row r="22" spans="1:12" x14ac:dyDescent="0.3">
      <c r="A22">
        <v>53.9</v>
      </c>
      <c r="B22">
        <v>1.3</v>
      </c>
    </row>
    <row r="23" spans="1:12" x14ac:dyDescent="0.3">
      <c r="A23">
        <v>58.7</v>
      </c>
      <c r="B23">
        <v>1.3</v>
      </c>
    </row>
    <row r="24" spans="1:12" x14ac:dyDescent="0.3">
      <c r="A24">
        <v>50</v>
      </c>
      <c r="B24">
        <v>1.3</v>
      </c>
      <c r="D24" t="s">
        <v>117</v>
      </c>
    </row>
    <row r="25" spans="1:12" ht="14" thickBot="1" x14ac:dyDescent="0.35">
      <c r="A25">
        <v>55.5</v>
      </c>
      <c r="B25">
        <v>1.4</v>
      </c>
    </row>
    <row r="26" spans="1:12" x14ac:dyDescent="0.3">
      <c r="A26">
        <v>53.7</v>
      </c>
      <c r="B26">
        <v>1.4</v>
      </c>
      <c r="D26" s="3" t="s">
        <v>118</v>
      </c>
      <c r="E26" s="3" t="s">
        <v>119</v>
      </c>
      <c r="F26" s="3" t="s">
        <v>120</v>
      </c>
    </row>
    <row r="27" spans="1:12" x14ac:dyDescent="0.3">
      <c r="A27">
        <v>54.2</v>
      </c>
      <c r="B27">
        <v>1.4</v>
      </c>
      <c r="D27" s="1">
        <v>1</v>
      </c>
      <c r="E27" s="1">
        <v>1.0658931477740552</v>
      </c>
      <c r="F27" s="1">
        <v>-2.5658931477740552</v>
      </c>
    </row>
    <row r="28" spans="1:12" x14ac:dyDescent="0.3">
      <c r="A28">
        <v>56.6</v>
      </c>
      <c r="B28">
        <v>1.5</v>
      </c>
      <c r="D28" s="1">
        <v>2</v>
      </c>
      <c r="E28" s="1">
        <v>3.755293725775644</v>
      </c>
      <c r="F28" s="1">
        <v>-3.9552937257756442</v>
      </c>
    </row>
    <row r="29" spans="1:12" x14ac:dyDescent="0.3">
      <c r="A29">
        <v>46</v>
      </c>
      <c r="B29">
        <v>1.5</v>
      </c>
      <c r="D29" s="1">
        <v>3</v>
      </c>
      <c r="E29" s="1">
        <v>2.0507440636619592</v>
      </c>
      <c r="F29" s="1">
        <v>-2.1507440636619592</v>
      </c>
    </row>
    <row r="30" spans="1:12" x14ac:dyDescent="0.3">
      <c r="A30">
        <v>57.7</v>
      </c>
      <c r="B30">
        <v>1.5</v>
      </c>
      <c r="D30" s="1">
        <v>4</v>
      </c>
      <c r="E30" s="1">
        <v>1.6340763684786168</v>
      </c>
      <c r="F30" s="1">
        <v>-1.4340763684786169</v>
      </c>
    </row>
    <row r="31" spans="1:12" x14ac:dyDescent="0.3">
      <c r="A31">
        <v>59.4</v>
      </c>
      <c r="B31">
        <v>1.5</v>
      </c>
      <c r="D31" s="1">
        <v>5</v>
      </c>
      <c r="E31" s="1">
        <v>2.3916539960846954</v>
      </c>
      <c r="F31" s="1">
        <v>-2.0916539960846956</v>
      </c>
    </row>
    <row r="32" spans="1:12" x14ac:dyDescent="0.3">
      <c r="A32">
        <v>47.2</v>
      </c>
      <c r="B32">
        <v>1.6</v>
      </c>
      <c r="D32" s="1">
        <v>6</v>
      </c>
      <c r="E32" s="1">
        <v>2.9219583354089522</v>
      </c>
      <c r="F32" s="1">
        <v>-2.5219583354089523</v>
      </c>
    </row>
    <row r="33" spans="1:6" x14ac:dyDescent="0.3">
      <c r="A33">
        <v>55.5</v>
      </c>
      <c r="B33">
        <v>1.6</v>
      </c>
      <c r="D33" s="1">
        <v>7</v>
      </c>
      <c r="E33" s="1">
        <v>2.4674117588453051</v>
      </c>
      <c r="F33" s="1">
        <v>-1.9674117588453051</v>
      </c>
    </row>
    <row r="34" spans="1:6" x14ac:dyDescent="0.3">
      <c r="A34">
        <v>54.9</v>
      </c>
      <c r="B34">
        <v>1.6</v>
      </c>
      <c r="D34" s="1">
        <v>8</v>
      </c>
      <c r="E34" s="1">
        <v>1.6340763684786168</v>
      </c>
      <c r="F34" s="1">
        <v>-1.1340763684786168</v>
      </c>
    </row>
    <row r="35" spans="1:6" x14ac:dyDescent="0.3">
      <c r="A35">
        <v>56.2</v>
      </c>
      <c r="B35">
        <v>1.6</v>
      </c>
      <c r="D35" s="1">
        <v>9</v>
      </c>
      <c r="E35" s="1">
        <v>0.34619440154827785</v>
      </c>
      <c r="F35" s="1">
        <v>0.15380559845172215</v>
      </c>
    </row>
    <row r="36" spans="1:6" x14ac:dyDescent="0.3">
      <c r="A36">
        <v>58.4</v>
      </c>
      <c r="B36">
        <v>1.7</v>
      </c>
      <c r="D36" s="1">
        <v>10</v>
      </c>
      <c r="E36" s="1">
        <v>0.80074097811192502</v>
      </c>
      <c r="F36" s="1">
        <v>-0.20074097811192504</v>
      </c>
    </row>
    <row r="37" spans="1:6" x14ac:dyDescent="0.3">
      <c r="A37">
        <v>56.7</v>
      </c>
      <c r="B37">
        <v>1.8</v>
      </c>
      <c r="D37" s="1">
        <v>11</v>
      </c>
      <c r="E37" s="1">
        <v>2.6189272843665208</v>
      </c>
      <c r="F37" s="1">
        <v>-2.0189272843665207</v>
      </c>
    </row>
    <row r="38" spans="1:6" x14ac:dyDescent="0.3">
      <c r="A38">
        <v>54.6</v>
      </c>
      <c r="B38">
        <v>1.8</v>
      </c>
      <c r="D38" s="1">
        <v>12</v>
      </c>
      <c r="E38" s="1">
        <v>1.3689241988164866</v>
      </c>
      <c r="F38" s="1">
        <v>-0.66892419881648668</v>
      </c>
    </row>
    <row r="39" spans="1:6" x14ac:dyDescent="0.3">
      <c r="A39">
        <v>60.7</v>
      </c>
      <c r="B39">
        <v>1.9</v>
      </c>
      <c r="D39" s="1">
        <v>13</v>
      </c>
      <c r="E39" s="1">
        <v>2.0507440636619592</v>
      </c>
      <c r="F39" s="1">
        <v>-1.2507440636619591</v>
      </c>
    </row>
    <row r="40" spans="1:6" x14ac:dyDescent="0.3">
      <c r="A40">
        <v>60.9</v>
      </c>
      <c r="B40">
        <v>1.9</v>
      </c>
      <c r="D40" s="1">
        <v>14</v>
      </c>
      <c r="E40" s="1">
        <v>1.2931664360558806</v>
      </c>
      <c r="F40" s="1">
        <v>-0.49316643605588051</v>
      </c>
    </row>
    <row r="41" spans="1:6" x14ac:dyDescent="0.3">
      <c r="A41">
        <v>52.6</v>
      </c>
      <c r="B41">
        <v>2.1</v>
      </c>
      <c r="D41" s="1">
        <v>15</v>
      </c>
      <c r="E41" s="1">
        <v>1.8992285381407434</v>
      </c>
      <c r="F41" s="1">
        <v>-0.99922853814074342</v>
      </c>
    </row>
    <row r="42" spans="1:6" x14ac:dyDescent="0.3">
      <c r="A42">
        <v>58.8</v>
      </c>
      <c r="B42">
        <v>2.2000000000000002</v>
      </c>
      <c r="D42" s="1">
        <v>16</v>
      </c>
      <c r="E42" s="1">
        <v>-1.8129018371290542</v>
      </c>
      <c r="F42" s="1">
        <v>2.8129018371290542</v>
      </c>
    </row>
    <row r="43" spans="1:6" x14ac:dyDescent="0.3">
      <c r="A43">
        <v>57.4</v>
      </c>
      <c r="B43">
        <v>2.2000000000000002</v>
      </c>
      <c r="D43" s="1">
        <v>17</v>
      </c>
      <c r="E43" s="1">
        <v>2.6946850471271269</v>
      </c>
      <c r="F43" s="1">
        <v>-1.5946850471271268</v>
      </c>
    </row>
    <row r="44" spans="1:6" x14ac:dyDescent="0.3">
      <c r="A44">
        <v>49.4</v>
      </c>
      <c r="B44">
        <v>2.2999999999999998</v>
      </c>
      <c r="D44" s="1">
        <v>18</v>
      </c>
      <c r="E44" s="1">
        <v>-1.7750229557487529</v>
      </c>
      <c r="F44" s="1">
        <v>2.875022955748753</v>
      </c>
    </row>
    <row r="45" spans="1:6" x14ac:dyDescent="0.3">
      <c r="A45">
        <v>54.4</v>
      </c>
      <c r="B45">
        <v>2.6</v>
      </c>
      <c r="D45" s="1">
        <v>19</v>
      </c>
      <c r="E45" s="1">
        <v>0.38407328292858267</v>
      </c>
      <c r="F45" s="1">
        <v>0.81592671707141728</v>
      </c>
    </row>
    <row r="46" spans="1:6" x14ac:dyDescent="0.3">
      <c r="A46">
        <v>58.3</v>
      </c>
      <c r="B46">
        <v>2.8</v>
      </c>
      <c r="D46" s="1">
        <v>20</v>
      </c>
      <c r="E46" s="1">
        <v>-0.10835217501537286</v>
      </c>
      <c r="F46" s="1">
        <v>1.3083521750153728</v>
      </c>
    </row>
    <row r="47" spans="1:6" x14ac:dyDescent="0.3">
      <c r="A47">
        <v>54.2</v>
      </c>
      <c r="B47">
        <v>2.8</v>
      </c>
      <c r="D47" s="1">
        <v>21</v>
      </c>
      <c r="E47" s="1">
        <v>2.4295328774650002</v>
      </c>
      <c r="F47" s="1">
        <v>-1.1295328774650002</v>
      </c>
    </row>
    <row r="48" spans="1:6" x14ac:dyDescent="0.3">
      <c r="A48">
        <v>47.7</v>
      </c>
      <c r="B48">
        <v>2.9</v>
      </c>
      <c r="D48" s="1">
        <v>22</v>
      </c>
      <c r="E48" s="1">
        <v>0.61134657121040448</v>
      </c>
      <c r="F48" s="1">
        <v>0.68865342878959557</v>
      </c>
    </row>
    <row r="49" spans="1:6" x14ac:dyDescent="0.3">
      <c r="A49">
        <v>51.8</v>
      </c>
      <c r="B49">
        <v>2.9</v>
      </c>
      <c r="D49" s="1">
        <v>23</v>
      </c>
      <c r="E49" s="1">
        <v>3.9068092512968597</v>
      </c>
      <c r="F49" s="1">
        <v>-2.6068092512968599</v>
      </c>
    </row>
    <row r="50" spans="1:6" x14ac:dyDescent="0.3">
      <c r="A50">
        <v>57.6</v>
      </c>
      <c r="B50">
        <v>3</v>
      </c>
      <c r="D50" s="1">
        <v>24</v>
      </c>
      <c r="E50" s="1">
        <v>1.8234707753801338</v>
      </c>
      <c r="F50" s="1">
        <v>-0.42347077538013389</v>
      </c>
    </row>
    <row r="51" spans="1:6" x14ac:dyDescent="0.3">
      <c r="A51">
        <v>52.7</v>
      </c>
      <c r="B51">
        <v>3</v>
      </c>
      <c r="D51" s="1">
        <v>25</v>
      </c>
      <c r="E51" s="1">
        <v>2.5052906402256063</v>
      </c>
      <c r="F51" s="1">
        <v>-1.1052906402256064</v>
      </c>
    </row>
    <row r="52" spans="1:6" x14ac:dyDescent="0.3">
      <c r="A52">
        <v>49.6</v>
      </c>
      <c r="B52">
        <v>3.1</v>
      </c>
      <c r="D52" s="1">
        <v>26</v>
      </c>
      <c r="E52" s="1">
        <v>2.3158962333240858</v>
      </c>
      <c r="F52" s="1">
        <v>-0.91589623332408587</v>
      </c>
    </row>
    <row r="53" spans="1:6" x14ac:dyDescent="0.3">
      <c r="A53">
        <v>45.8</v>
      </c>
      <c r="B53">
        <v>3.7</v>
      </c>
      <c r="D53" s="1">
        <v>27</v>
      </c>
      <c r="E53" s="1">
        <v>1.4068030801967915</v>
      </c>
      <c r="F53" s="1">
        <v>9.3196919803208544E-2</v>
      </c>
    </row>
    <row r="54" spans="1:6" x14ac:dyDescent="0.3">
      <c r="A54">
        <v>48.7</v>
      </c>
      <c r="B54">
        <v>3.9</v>
      </c>
      <c r="D54" s="1">
        <v>28</v>
      </c>
      <c r="E54" s="1">
        <v>5.4219645065090241</v>
      </c>
      <c r="F54" s="1">
        <v>-3.9219645065090241</v>
      </c>
    </row>
    <row r="55" spans="1:6" x14ac:dyDescent="0.3">
      <c r="A55">
        <v>59.2</v>
      </c>
      <c r="B55">
        <v>4</v>
      </c>
      <c r="D55" s="1">
        <v>29</v>
      </c>
      <c r="E55" s="1">
        <v>0.99013538501344556</v>
      </c>
      <c r="F55" s="1">
        <v>0.50986461498655444</v>
      </c>
    </row>
    <row r="56" spans="1:6" x14ac:dyDescent="0.3">
      <c r="A56">
        <v>43.6</v>
      </c>
      <c r="B56">
        <v>4.4000000000000004</v>
      </c>
      <c r="D56" s="1">
        <v>30</v>
      </c>
      <c r="E56" s="1">
        <v>0.34619440154827785</v>
      </c>
      <c r="F56" s="1">
        <v>1.1538055984517221</v>
      </c>
    </row>
    <row r="57" spans="1:6" x14ac:dyDescent="0.3">
      <c r="A57">
        <v>50.8</v>
      </c>
      <c r="B57">
        <v>4.5</v>
      </c>
      <c r="D57" s="1">
        <v>31</v>
      </c>
      <c r="E57" s="1">
        <v>4.9674179299453733</v>
      </c>
      <c r="F57" s="1">
        <v>-3.3674179299453733</v>
      </c>
    </row>
    <row r="58" spans="1:6" x14ac:dyDescent="0.3">
      <c r="A58">
        <v>47.6</v>
      </c>
      <c r="B58">
        <v>4.5999999999999996</v>
      </c>
      <c r="D58" s="1">
        <v>32</v>
      </c>
      <c r="E58" s="1">
        <v>1.8234707753801338</v>
      </c>
      <c r="F58" s="1">
        <v>-0.22347077538013371</v>
      </c>
    </row>
    <row r="59" spans="1:6" x14ac:dyDescent="0.3">
      <c r="A59">
        <v>43.4</v>
      </c>
      <c r="B59">
        <v>5.0999999999999996</v>
      </c>
      <c r="D59" s="1">
        <v>33</v>
      </c>
      <c r="E59" s="1">
        <v>2.0507440636619592</v>
      </c>
      <c r="F59" s="1">
        <v>-0.45074406366195907</v>
      </c>
    </row>
    <row r="60" spans="1:6" x14ac:dyDescent="0.3">
      <c r="A60">
        <v>40.6</v>
      </c>
      <c r="B60">
        <v>5.3</v>
      </c>
      <c r="D60" s="1">
        <v>34</v>
      </c>
      <c r="E60" s="1">
        <v>1.5583186057180072</v>
      </c>
      <c r="F60" s="1">
        <v>4.1681394281992912E-2</v>
      </c>
    </row>
    <row r="61" spans="1:6" x14ac:dyDescent="0.3">
      <c r="A61">
        <v>44.8</v>
      </c>
      <c r="B61">
        <v>6.6</v>
      </c>
      <c r="D61" s="1">
        <v>35</v>
      </c>
      <c r="E61" s="1">
        <v>0.72498321535131893</v>
      </c>
      <c r="F61" s="1">
        <v>0.97501678464868102</v>
      </c>
    </row>
    <row r="62" spans="1:6" x14ac:dyDescent="0.3">
      <c r="A62">
        <v>31.1</v>
      </c>
      <c r="B62">
        <v>6.9</v>
      </c>
      <c r="D62" s="1">
        <v>36</v>
      </c>
      <c r="E62" s="1">
        <v>1.3689241988164866</v>
      </c>
      <c r="F62" s="1">
        <v>0.43107580118351341</v>
      </c>
    </row>
    <row r="63" spans="1:6" x14ac:dyDescent="0.3">
      <c r="A63">
        <v>45.6</v>
      </c>
      <c r="B63">
        <v>8.5</v>
      </c>
      <c r="D63" s="1">
        <v>37</v>
      </c>
      <c r="E63" s="1">
        <v>2.1643807078028701</v>
      </c>
      <c r="F63" s="1">
        <v>-0.36438070780287002</v>
      </c>
    </row>
    <row r="64" spans="1:6" x14ac:dyDescent="0.3">
      <c r="A64">
        <v>51.2</v>
      </c>
      <c r="B64">
        <v>14.1</v>
      </c>
      <c r="D64" s="1">
        <v>38</v>
      </c>
      <c r="E64" s="1">
        <v>-0.14623105639567768</v>
      </c>
      <c r="F64" s="1">
        <v>2.0462310563956776</v>
      </c>
    </row>
    <row r="65" spans="1:6" x14ac:dyDescent="0.3">
      <c r="A65">
        <v>28.7</v>
      </c>
      <c r="B65">
        <v>18.399999999999999</v>
      </c>
      <c r="D65" s="1">
        <v>39</v>
      </c>
      <c r="E65" s="1">
        <v>-0.22198881915628377</v>
      </c>
      <c r="F65" s="1">
        <v>2.1219888191562837</v>
      </c>
    </row>
    <row r="66" spans="1:6" x14ac:dyDescent="0.3">
      <c r="A66">
        <v>29.8</v>
      </c>
      <c r="B66">
        <v>20.100000000000001</v>
      </c>
      <c r="D66" s="1">
        <v>40</v>
      </c>
      <c r="E66" s="1">
        <v>2.9219583354089522</v>
      </c>
      <c r="F66" s="1">
        <v>-0.82195833540895213</v>
      </c>
    </row>
    <row r="67" spans="1:6" x14ac:dyDescent="0.3">
      <c r="D67" s="1">
        <v>41</v>
      </c>
      <c r="E67" s="1">
        <v>0.57346768983010321</v>
      </c>
      <c r="F67" s="1">
        <v>1.626532310169897</v>
      </c>
    </row>
    <row r="68" spans="1:6" x14ac:dyDescent="0.3">
      <c r="D68" s="1">
        <v>42</v>
      </c>
      <c r="E68" s="1">
        <v>1.10377202915436</v>
      </c>
      <c r="F68" s="1">
        <v>1.0962279708456402</v>
      </c>
    </row>
    <row r="69" spans="1:6" x14ac:dyDescent="0.3">
      <c r="D69" s="1">
        <v>43</v>
      </c>
      <c r="E69" s="1">
        <v>4.1340825395786851</v>
      </c>
      <c r="F69" s="1">
        <v>-1.8340825395786853</v>
      </c>
    </row>
    <row r="70" spans="1:6" x14ac:dyDescent="0.3">
      <c r="D70" s="1">
        <v>44</v>
      </c>
      <c r="E70" s="1">
        <v>2.2401384705634797</v>
      </c>
      <c r="F70" s="1">
        <v>0.35986152943652039</v>
      </c>
    </row>
    <row r="71" spans="1:6" x14ac:dyDescent="0.3">
      <c r="D71" s="1">
        <v>45</v>
      </c>
      <c r="E71" s="1">
        <v>0.76286209673162375</v>
      </c>
      <c r="F71" s="1">
        <v>2.0371379032683761</v>
      </c>
    </row>
    <row r="72" spans="1:6" x14ac:dyDescent="0.3">
      <c r="D72" s="1">
        <v>46</v>
      </c>
      <c r="E72" s="1">
        <v>2.3158962333240858</v>
      </c>
      <c r="F72" s="1">
        <v>0.48410376667591404</v>
      </c>
    </row>
    <row r="73" spans="1:6" x14ac:dyDescent="0.3">
      <c r="D73" s="1">
        <v>47</v>
      </c>
      <c r="E73" s="1">
        <v>4.7780235230438528</v>
      </c>
      <c r="F73" s="1">
        <v>-1.8780235230438529</v>
      </c>
    </row>
    <row r="74" spans="1:6" x14ac:dyDescent="0.3">
      <c r="D74" s="1">
        <v>48</v>
      </c>
      <c r="E74" s="1">
        <v>3.2249893864513872</v>
      </c>
      <c r="F74" s="1">
        <v>-0.32498938645138731</v>
      </c>
    </row>
    <row r="75" spans="1:6" x14ac:dyDescent="0.3">
      <c r="D75" s="1">
        <v>49</v>
      </c>
      <c r="E75" s="1">
        <v>1.0280142663937504</v>
      </c>
      <c r="F75" s="1">
        <v>1.9719857336062496</v>
      </c>
    </row>
    <row r="76" spans="1:6" x14ac:dyDescent="0.3">
      <c r="D76" s="1">
        <v>50</v>
      </c>
      <c r="E76" s="1">
        <v>2.8840794540286474</v>
      </c>
      <c r="F76" s="1">
        <v>0.1159205459713526</v>
      </c>
    </row>
    <row r="77" spans="1:6" x14ac:dyDescent="0.3">
      <c r="D77" s="1">
        <v>51</v>
      </c>
      <c r="E77" s="1">
        <v>4.0583247768180755</v>
      </c>
      <c r="F77" s="1">
        <v>-0.95832477681807537</v>
      </c>
    </row>
    <row r="78" spans="1:6" x14ac:dyDescent="0.3">
      <c r="D78" s="1">
        <v>52</v>
      </c>
      <c r="E78" s="1">
        <v>5.4977222692696337</v>
      </c>
      <c r="F78" s="1">
        <v>-1.7977222692696335</v>
      </c>
    </row>
    <row r="79" spans="1:6" x14ac:dyDescent="0.3">
      <c r="D79" s="1">
        <v>53</v>
      </c>
      <c r="E79" s="1">
        <v>4.3992347092408117</v>
      </c>
      <c r="F79" s="1">
        <v>-0.49923470924081181</v>
      </c>
    </row>
    <row r="80" spans="1:6" x14ac:dyDescent="0.3">
      <c r="D80" s="1">
        <v>54</v>
      </c>
      <c r="E80" s="1">
        <v>0.42195216430888394</v>
      </c>
      <c r="F80" s="1">
        <v>3.5780478356911161</v>
      </c>
    </row>
    <row r="81" spans="4:6" x14ac:dyDescent="0.3">
      <c r="D81" s="1">
        <v>55</v>
      </c>
      <c r="E81" s="1">
        <v>6.3310576596363219</v>
      </c>
      <c r="F81" s="1">
        <v>-1.9310576596363216</v>
      </c>
    </row>
    <row r="82" spans="4:6" x14ac:dyDescent="0.3">
      <c r="D82" s="1">
        <v>56</v>
      </c>
      <c r="E82" s="1">
        <v>3.6037782002544283</v>
      </c>
      <c r="F82" s="1">
        <v>0.8962217997455717</v>
      </c>
    </row>
    <row r="83" spans="4:6" x14ac:dyDescent="0.3">
      <c r="D83" s="1">
        <v>57</v>
      </c>
      <c r="E83" s="1">
        <v>4.8159024044241576</v>
      </c>
      <c r="F83" s="1">
        <v>-0.21590240442415798</v>
      </c>
    </row>
    <row r="84" spans="4:6" x14ac:dyDescent="0.3">
      <c r="D84" s="1">
        <v>58</v>
      </c>
      <c r="E84" s="1">
        <v>6.4068154223969316</v>
      </c>
      <c r="F84" s="1">
        <v>-1.3068154223969319</v>
      </c>
    </row>
    <row r="85" spans="4:6" x14ac:dyDescent="0.3">
      <c r="D85" s="1">
        <v>59</v>
      </c>
      <c r="E85" s="1">
        <v>7.4674241010454434</v>
      </c>
      <c r="F85" s="1">
        <v>-2.1674241010454436</v>
      </c>
    </row>
    <row r="86" spans="4:6" x14ac:dyDescent="0.3">
      <c r="D86" s="1">
        <v>60</v>
      </c>
      <c r="E86" s="1">
        <v>5.8765110830726748</v>
      </c>
      <c r="F86" s="1">
        <v>0.72348891692732487</v>
      </c>
    </row>
    <row r="87" spans="4:6" x14ac:dyDescent="0.3">
      <c r="D87" s="1">
        <v>61</v>
      </c>
      <c r="E87" s="1">
        <v>11.065917832174332</v>
      </c>
      <c r="F87" s="1">
        <v>-4.1659178321743315</v>
      </c>
    </row>
    <row r="88" spans="4:6" x14ac:dyDescent="0.3">
      <c r="D88" s="1">
        <v>62</v>
      </c>
      <c r="E88" s="1">
        <v>5.5734800320302398</v>
      </c>
      <c r="F88" s="1">
        <v>2.9265199679697602</v>
      </c>
    </row>
    <row r="89" spans="4:6" x14ac:dyDescent="0.3">
      <c r="D89" s="1">
        <v>63</v>
      </c>
      <c r="E89" s="1">
        <v>3.452262674733209</v>
      </c>
      <c r="F89" s="1">
        <v>10.647737325266791</v>
      </c>
    </row>
    <row r="90" spans="4:6" x14ac:dyDescent="0.3">
      <c r="D90" s="1">
        <v>64</v>
      </c>
      <c r="E90" s="1">
        <v>11.975010985301632</v>
      </c>
      <c r="F90" s="1">
        <v>6.424989014698367</v>
      </c>
    </row>
    <row r="91" spans="4:6" ht="14" thickBot="1" x14ac:dyDescent="0.35">
      <c r="D91" s="2">
        <v>65</v>
      </c>
      <c r="E91" s="2">
        <v>11.558343290118286</v>
      </c>
      <c r="F91" s="2">
        <v>8.5416567098817158</v>
      </c>
    </row>
  </sheetData>
  <sortState ref="A2:B72">
    <sortCondition ref="B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>
      <selection activeCell="M13" sqref="M13"/>
    </sheetView>
  </sheetViews>
  <sheetFormatPr defaultRowHeight="13.5" x14ac:dyDescent="0.3"/>
  <sheetData>
    <row r="1" spans="1:12" ht="14" thickBot="1" x14ac:dyDescent="0.35">
      <c r="A1" s="5" t="s">
        <v>45</v>
      </c>
      <c r="B1" s="5" t="s">
        <v>46</v>
      </c>
      <c r="C1" s="5" t="s">
        <v>47</v>
      </c>
      <c r="D1" s="5" t="s">
        <v>48</v>
      </c>
      <c r="F1" s="5" t="s">
        <v>53</v>
      </c>
    </row>
    <row r="2" spans="1:12" x14ac:dyDescent="0.3">
      <c r="A2">
        <v>31.4</v>
      </c>
      <c r="B2">
        <v>19.3</v>
      </c>
      <c r="C2">
        <v>18.399999999999999</v>
      </c>
      <c r="D2">
        <v>20.399999999999999</v>
      </c>
      <c r="F2">
        <v>31.4</v>
      </c>
      <c r="H2" s="4" t="s">
        <v>54</v>
      </c>
      <c r="I2" s="4"/>
      <c r="K2" s="3" t="s">
        <v>49</v>
      </c>
      <c r="L2" s="3" t="s">
        <v>51</v>
      </c>
    </row>
    <row r="3" spans="1:12" x14ac:dyDescent="0.3">
      <c r="A3">
        <v>36.4</v>
      </c>
      <c r="B3">
        <v>26.9</v>
      </c>
      <c r="C3">
        <v>18.5</v>
      </c>
      <c r="D3">
        <v>21.6</v>
      </c>
      <c r="F3">
        <v>36.4</v>
      </c>
      <c r="H3" s="1"/>
      <c r="I3" s="1"/>
      <c r="K3" s="6">
        <v>15</v>
      </c>
      <c r="L3" s="1">
        <v>0</v>
      </c>
    </row>
    <row r="4" spans="1:12" x14ac:dyDescent="0.3">
      <c r="A4">
        <v>37.200000000000003</v>
      </c>
      <c r="B4">
        <v>30.4</v>
      </c>
      <c r="C4">
        <v>21.1</v>
      </c>
      <c r="F4">
        <v>37.200000000000003</v>
      </c>
      <c r="H4" s="1" t="s">
        <v>26</v>
      </c>
      <c r="I4" s="1">
        <v>30.357943925233638</v>
      </c>
      <c r="K4" s="6">
        <v>20</v>
      </c>
      <c r="L4" s="1">
        <v>8</v>
      </c>
    </row>
    <row r="5" spans="1:12" x14ac:dyDescent="0.3">
      <c r="A5">
        <v>39.700000000000003</v>
      </c>
      <c r="B5">
        <v>30.7</v>
      </c>
      <c r="C5">
        <v>21.6</v>
      </c>
      <c r="F5">
        <v>39.700000000000003</v>
      </c>
      <c r="H5" s="1" t="s">
        <v>27</v>
      </c>
      <c r="I5" s="1">
        <v>0.60101606406421382</v>
      </c>
      <c r="K5" s="6">
        <v>25</v>
      </c>
      <c r="L5" s="1">
        <v>15</v>
      </c>
    </row>
    <row r="6" spans="1:12" x14ac:dyDescent="0.3">
      <c r="A6">
        <v>41.5</v>
      </c>
      <c r="B6">
        <v>34.5</v>
      </c>
      <c r="C6">
        <v>22.1</v>
      </c>
      <c r="F6">
        <v>41.5</v>
      </c>
      <c r="H6" s="1" t="s">
        <v>28</v>
      </c>
      <c r="I6" s="1">
        <v>31.2</v>
      </c>
      <c r="K6" s="6">
        <v>30</v>
      </c>
      <c r="L6" s="1">
        <v>21</v>
      </c>
    </row>
    <row r="7" spans="1:12" x14ac:dyDescent="0.3">
      <c r="A7">
        <v>37.4</v>
      </c>
      <c r="B7">
        <v>30.6</v>
      </c>
      <c r="C7">
        <v>22.9</v>
      </c>
      <c r="F7">
        <v>37.4</v>
      </c>
      <c r="H7" s="1" t="s">
        <v>29</v>
      </c>
      <c r="I7" s="1">
        <v>34.6</v>
      </c>
      <c r="K7" s="6">
        <v>35</v>
      </c>
      <c r="L7" s="1">
        <v>40</v>
      </c>
    </row>
    <row r="8" spans="1:12" x14ac:dyDescent="0.3">
      <c r="A8">
        <v>37.9</v>
      </c>
      <c r="B8">
        <v>30.7</v>
      </c>
      <c r="C8">
        <v>23.4</v>
      </c>
      <c r="F8">
        <v>37.9</v>
      </c>
      <c r="H8" s="1" t="s">
        <v>30</v>
      </c>
      <c r="I8" s="1">
        <v>6.216958508078255</v>
      </c>
      <c r="K8" s="6">
        <v>40</v>
      </c>
      <c r="L8" s="1">
        <v>18</v>
      </c>
    </row>
    <row r="9" spans="1:12" x14ac:dyDescent="0.3">
      <c r="A9">
        <v>42.8</v>
      </c>
      <c r="B9">
        <v>32</v>
      </c>
      <c r="C9">
        <v>25.8</v>
      </c>
      <c r="F9">
        <v>42.8</v>
      </c>
      <c r="H9" s="1" t="s">
        <v>31</v>
      </c>
      <c r="I9" s="1">
        <v>38.650573091166599</v>
      </c>
      <c r="K9" s="6">
        <v>45</v>
      </c>
      <c r="L9" s="1">
        <v>5</v>
      </c>
    </row>
    <row r="10" spans="1:12" ht="14" thickBot="1" x14ac:dyDescent="0.35">
      <c r="A10">
        <v>40.5</v>
      </c>
      <c r="B10">
        <v>34.6</v>
      </c>
      <c r="C10">
        <v>31.1</v>
      </c>
      <c r="F10">
        <v>40.5</v>
      </c>
      <c r="H10" s="1" t="s">
        <v>32</v>
      </c>
      <c r="I10" s="1">
        <v>-0.74537439397128091</v>
      </c>
      <c r="K10" s="2" t="s">
        <v>50</v>
      </c>
      <c r="L10" s="2">
        <v>0</v>
      </c>
    </row>
    <row r="11" spans="1:12" x14ac:dyDescent="0.3">
      <c r="A11">
        <v>33.700000000000003</v>
      </c>
      <c r="B11">
        <v>18.399999999999999</v>
      </c>
      <c r="F11">
        <v>33.700000000000003</v>
      </c>
      <c r="H11" s="1" t="s">
        <v>33</v>
      </c>
      <c r="I11" s="1">
        <v>-0.32069508392156976</v>
      </c>
    </row>
    <row r="12" spans="1:12" x14ac:dyDescent="0.3">
      <c r="A12">
        <v>34</v>
      </c>
      <c r="B12">
        <v>19</v>
      </c>
      <c r="F12">
        <v>34</v>
      </c>
      <c r="H12" s="1" t="s">
        <v>34</v>
      </c>
      <c r="I12" s="1">
        <v>24.4</v>
      </c>
    </row>
    <row r="13" spans="1:12" x14ac:dyDescent="0.3">
      <c r="A13">
        <v>34.799999999999997</v>
      </c>
      <c r="B13">
        <v>19</v>
      </c>
      <c r="F13">
        <v>34.799999999999997</v>
      </c>
      <c r="H13" s="1" t="s">
        <v>35</v>
      </c>
      <c r="I13" s="1">
        <v>18.399999999999999</v>
      </c>
    </row>
    <row r="14" spans="1:12" x14ac:dyDescent="0.3">
      <c r="A14">
        <v>32.4</v>
      </c>
      <c r="B14">
        <v>21.2</v>
      </c>
      <c r="F14">
        <v>32.4</v>
      </c>
      <c r="H14" s="1" t="s">
        <v>36</v>
      </c>
      <c r="I14" s="1">
        <v>42.8</v>
      </c>
    </row>
    <row r="15" spans="1:12" x14ac:dyDescent="0.3">
      <c r="A15">
        <v>34.6</v>
      </c>
      <c r="B15">
        <v>21.6</v>
      </c>
      <c r="F15">
        <v>34.6</v>
      </c>
      <c r="H15" s="1" t="s">
        <v>37</v>
      </c>
      <c r="I15" s="1">
        <v>3248.2999999999993</v>
      </c>
    </row>
    <row r="16" spans="1:12" x14ac:dyDescent="0.3">
      <c r="A16">
        <v>37.1</v>
      </c>
      <c r="B16">
        <v>22.7</v>
      </c>
      <c r="F16">
        <v>37.1</v>
      </c>
      <c r="H16" s="1" t="s">
        <v>38</v>
      </c>
      <c r="I16" s="1">
        <v>107</v>
      </c>
    </row>
    <row r="17" spans="1:9" x14ac:dyDescent="0.3">
      <c r="A17">
        <v>39.700000000000003</v>
      </c>
      <c r="B17">
        <v>24.4</v>
      </c>
      <c r="F17">
        <v>39.700000000000003</v>
      </c>
      <c r="H17" s="1" t="s">
        <v>39</v>
      </c>
      <c r="I17" s="1">
        <v>42.8</v>
      </c>
    </row>
    <row r="18" spans="1:9" x14ac:dyDescent="0.3">
      <c r="A18">
        <v>33.799999999999997</v>
      </c>
      <c r="B18">
        <v>25</v>
      </c>
      <c r="F18">
        <v>33.799999999999997</v>
      </c>
      <c r="H18" s="1" t="s">
        <v>40</v>
      </c>
      <c r="I18" s="1">
        <v>18.399999999999999</v>
      </c>
    </row>
    <row r="19" spans="1:9" ht="14" thickBot="1" x14ac:dyDescent="0.35">
      <c r="A19">
        <v>33.4</v>
      </c>
      <c r="B19">
        <v>25.5</v>
      </c>
      <c r="F19">
        <v>33.4</v>
      </c>
      <c r="H19" s="2" t="s">
        <v>41</v>
      </c>
      <c r="I19" s="2">
        <v>1.1915728028907882</v>
      </c>
    </row>
    <row r="20" spans="1:9" x14ac:dyDescent="0.3">
      <c r="A20">
        <v>31.5</v>
      </c>
      <c r="B20">
        <v>25.7</v>
      </c>
      <c r="F20">
        <v>31.5</v>
      </c>
    </row>
    <row r="21" spans="1:9" x14ac:dyDescent="0.3">
      <c r="A21">
        <v>36.700000000000003</v>
      </c>
      <c r="B21">
        <v>26.3</v>
      </c>
      <c r="F21">
        <v>36.700000000000003</v>
      </c>
      <c r="H21">
        <v>15</v>
      </c>
    </row>
    <row r="22" spans="1:9" x14ac:dyDescent="0.3">
      <c r="A22">
        <v>36</v>
      </c>
      <c r="B22">
        <v>27</v>
      </c>
      <c r="F22">
        <v>36</v>
      </c>
      <c r="H22">
        <v>20</v>
      </c>
    </row>
    <row r="23" spans="1:9" x14ac:dyDescent="0.3">
      <c r="A23">
        <v>40.5</v>
      </c>
      <c r="B23">
        <v>28.7</v>
      </c>
      <c r="F23">
        <v>40.5</v>
      </c>
      <c r="H23">
        <v>25</v>
      </c>
    </row>
    <row r="24" spans="1:9" x14ac:dyDescent="0.3">
      <c r="A24">
        <v>34.5</v>
      </c>
      <c r="B24">
        <v>28.9</v>
      </c>
      <c r="F24">
        <v>34.5</v>
      </c>
      <c r="H24">
        <v>30</v>
      </c>
    </row>
    <row r="25" spans="1:9" x14ac:dyDescent="0.3">
      <c r="A25">
        <v>40.6</v>
      </c>
      <c r="B25">
        <v>29.1</v>
      </c>
      <c r="F25">
        <v>40.6</v>
      </c>
      <c r="H25">
        <v>35</v>
      </c>
    </row>
    <row r="26" spans="1:9" x14ac:dyDescent="0.3">
      <c r="A26">
        <v>36.200000000000003</v>
      </c>
      <c r="B26">
        <v>29.7</v>
      </c>
      <c r="F26">
        <v>36.200000000000003</v>
      </c>
      <c r="H26">
        <v>40</v>
      </c>
    </row>
    <row r="27" spans="1:9" x14ac:dyDescent="0.3">
      <c r="A27">
        <v>37.700000000000003</v>
      </c>
      <c r="B27">
        <v>29.9</v>
      </c>
      <c r="F27">
        <v>37.700000000000003</v>
      </c>
      <c r="H27">
        <v>45</v>
      </c>
    </row>
    <row r="28" spans="1:9" x14ac:dyDescent="0.3">
      <c r="A28">
        <v>34.9</v>
      </c>
      <c r="B28">
        <v>30</v>
      </c>
      <c r="F28">
        <v>34.9</v>
      </c>
    </row>
    <row r="29" spans="1:9" x14ac:dyDescent="0.3">
      <c r="A29">
        <v>34.6</v>
      </c>
      <c r="B29">
        <v>30.5</v>
      </c>
      <c r="F29">
        <v>34.6</v>
      </c>
    </row>
    <row r="30" spans="1:9" x14ac:dyDescent="0.3">
      <c r="A30">
        <v>38.6</v>
      </c>
      <c r="B30">
        <v>30.9</v>
      </c>
      <c r="F30">
        <v>38.6</v>
      </c>
    </row>
    <row r="31" spans="1:9" x14ac:dyDescent="0.3">
      <c r="A31">
        <v>35.299999999999997</v>
      </c>
      <c r="B31">
        <v>31</v>
      </c>
      <c r="F31">
        <v>35.299999999999997</v>
      </c>
    </row>
    <row r="32" spans="1:9" x14ac:dyDescent="0.3">
      <c r="A32">
        <v>18.7</v>
      </c>
      <c r="F32">
        <v>18.7</v>
      </c>
    </row>
    <row r="33" spans="1:6" x14ac:dyDescent="0.3">
      <c r="A33">
        <v>20</v>
      </c>
      <c r="F33">
        <v>20</v>
      </c>
    </row>
    <row r="34" spans="1:6" x14ac:dyDescent="0.3">
      <c r="A34">
        <v>20.399999999999999</v>
      </c>
      <c r="F34">
        <v>20.399999999999999</v>
      </c>
    </row>
    <row r="35" spans="1:6" x14ac:dyDescent="0.3">
      <c r="A35">
        <v>20.7</v>
      </c>
      <c r="F35">
        <v>20.7</v>
      </c>
    </row>
    <row r="36" spans="1:6" x14ac:dyDescent="0.3">
      <c r="A36">
        <v>21.2</v>
      </c>
      <c r="F36">
        <v>21.2</v>
      </c>
    </row>
    <row r="37" spans="1:6" x14ac:dyDescent="0.3">
      <c r="A37">
        <v>25.2</v>
      </c>
      <c r="F37">
        <v>25.2</v>
      </c>
    </row>
    <row r="38" spans="1:6" x14ac:dyDescent="0.3">
      <c r="A38">
        <v>26.6</v>
      </c>
      <c r="F38">
        <v>26.6</v>
      </c>
    </row>
    <row r="39" spans="1:6" x14ac:dyDescent="0.3">
      <c r="A39">
        <v>27.3</v>
      </c>
      <c r="F39">
        <v>27.3</v>
      </c>
    </row>
    <row r="40" spans="1:6" x14ac:dyDescent="0.3">
      <c r="A40">
        <v>27.7</v>
      </c>
      <c r="F40">
        <v>27.7</v>
      </c>
    </row>
    <row r="41" spans="1:6" x14ac:dyDescent="0.3">
      <c r="A41">
        <v>28.3</v>
      </c>
      <c r="F41">
        <v>28.3</v>
      </c>
    </row>
    <row r="42" spans="1:6" x14ac:dyDescent="0.3">
      <c r="A42">
        <v>28.3</v>
      </c>
      <c r="F42">
        <v>28.3</v>
      </c>
    </row>
    <row r="43" spans="1:6" x14ac:dyDescent="0.3">
      <c r="A43">
        <v>28.3</v>
      </c>
      <c r="F43">
        <v>28.3</v>
      </c>
    </row>
    <row r="44" spans="1:6" x14ac:dyDescent="0.3">
      <c r="A44">
        <v>28.4</v>
      </c>
      <c r="F44">
        <v>28.4</v>
      </c>
    </row>
    <row r="45" spans="1:6" x14ac:dyDescent="0.3">
      <c r="A45">
        <v>28.7</v>
      </c>
      <c r="F45">
        <v>28.7</v>
      </c>
    </row>
    <row r="46" spans="1:6" x14ac:dyDescent="0.3">
      <c r="A46">
        <v>30.4</v>
      </c>
      <c r="F46">
        <v>30.4</v>
      </c>
    </row>
    <row r="47" spans="1:6" x14ac:dyDescent="0.3">
      <c r="A47">
        <v>31.2</v>
      </c>
      <c r="F47">
        <v>31.2</v>
      </c>
    </row>
    <row r="48" spans="1:6" x14ac:dyDescent="0.3">
      <c r="A48">
        <v>31.4</v>
      </c>
      <c r="F48">
        <v>31.4</v>
      </c>
    </row>
    <row r="49" spans="1:6" x14ac:dyDescent="0.3">
      <c r="A49">
        <v>31.6</v>
      </c>
      <c r="F49">
        <v>31.6</v>
      </c>
    </row>
    <row r="50" spans="1:6" x14ac:dyDescent="0.3">
      <c r="A50">
        <v>32</v>
      </c>
      <c r="F50">
        <v>32</v>
      </c>
    </row>
    <row r="51" spans="1:6" x14ac:dyDescent="0.3">
      <c r="A51">
        <v>32.1</v>
      </c>
      <c r="F51">
        <v>32.1</v>
      </c>
    </row>
    <row r="52" spans="1:6" x14ac:dyDescent="0.3">
      <c r="A52">
        <v>32.299999999999997</v>
      </c>
      <c r="F52">
        <v>32.299999999999997</v>
      </c>
    </row>
    <row r="53" spans="1:6" x14ac:dyDescent="0.3">
      <c r="A53">
        <v>32.4</v>
      </c>
      <c r="F53">
        <v>32.4</v>
      </c>
    </row>
    <row r="54" spans="1:6" x14ac:dyDescent="0.3">
      <c r="A54">
        <v>32.5</v>
      </c>
      <c r="F54">
        <v>32.5</v>
      </c>
    </row>
    <row r="55" spans="1:6" x14ac:dyDescent="0.3">
      <c r="A55">
        <v>33.1</v>
      </c>
      <c r="F55">
        <v>33.1</v>
      </c>
    </row>
    <row r="56" spans="1:6" x14ac:dyDescent="0.3">
      <c r="A56">
        <v>33.1</v>
      </c>
      <c r="F56">
        <v>33.1</v>
      </c>
    </row>
    <row r="57" spans="1:6" x14ac:dyDescent="0.3">
      <c r="A57">
        <v>33.1</v>
      </c>
      <c r="F57">
        <v>33.1</v>
      </c>
    </row>
    <row r="58" spans="1:6" x14ac:dyDescent="0.3">
      <c r="A58">
        <v>33.299999999999997</v>
      </c>
      <c r="F58">
        <v>33.299999999999997</v>
      </c>
    </row>
    <row r="59" spans="1:6" x14ac:dyDescent="0.3">
      <c r="A59">
        <v>34.200000000000003</v>
      </c>
      <c r="F59">
        <v>34.200000000000003</v>
      </c>
    </row>
    <row r="60" spans="1:6" x14ac:dyDescent="0.3">
      <c r="A60">
        <v>34.5</v>
      </c>
      <c r="F60">
        <v>34.5</v>
      </c>
    </row>
    <row r="61" spans="1:6" x14ac:dyDescent="0.3">
      <c r="A61">
        <v>34.700000000000003</v>
      </c>
      <c r="F61">
        <v>34.700000000000003</v>
      </c>
    </row>
    <row r="62" spans="1:6" x14ac:dyDescent="0.3">
      <c r="A62">
        <v>35</v>
      </c>
      <c r="F62">
        <v>35</v>
      </c>
    </row>
    <row r="63" spans="1:6" x14ac:dyDescent="0.3">
      <c r="A63">
        <v>36.1</v>
      </c>
      <c r="F63">
        <v>36.1</v>
      </c>
    </row>
    <row r="64" spans="1:6" x14ac:dyDescent="0.3">
      <c r="A64">
        <v>36.1</v>
      </c>
      <c r="F64">
        <v>36.1</v>
      </c>
    </row>
    <row r="65" spans="1:6" x14ac:dyDescent="0.3">
      <c r="A65">
        <v>37.200000000000003</v>
      </c>
      <c r="F65">
        <v>37.200000000000003</v>
      </c>
    </row>
    <row r="66" spans="1:6" x14ac:dyDescent="0.3">
      <c r="A66">
        <v>37.5</v>
      </c>
      <c r="F66">
        <v>37.5</v>
      </c>
    </row>
    <row r="67" spans="1:6" x14ac:dyDescent="0.3">
      <c r="A67">
        <v>38.200000000000003</v>
      </c>
      <c r="F67">
        <v>38.200000000000003</v>
      </c>
    </row>
    <row r="68" spans="1:6" x14ac:dyDescent="0.3">
      <c r="F68">
        <v>19.3</v>
      </c>
    </row>
    <row r="69" spans="1:6" x14ac:dyDescent="0.3">
      <c r="F69">
        <v>26.9</v>
      </c>
    </row>
    <row r="70" spans="1:6" x14ac:dyDescent="0.3">
      <c r="F70">
        <v>30.4</v>
      </c>
    </row>
    <row r="71" spans="1:6" x14ac:dyDescent="0.3">
      <c r="F71">
        <v>30.7</v>
      </c>
    </row>
    <row r="72" spans="1:6" x14ac:dyDescent="0.3">
      <c r="F72">
        <v>34.5</v>
      </c>
    </row>
    <row r="73" spans="1:6" x14ac:dyDescent="0.3">
      <c r="F73">
        <v>30.6</v>
      </c>
    </row>
    <row r="74" spans="1:6" x14ac:dyDescent="0.3">
      <c r="F74">
        <v>30.7</v>
      </c>
    </row>
    <row r="75" spans="1:6" x14ac:dyDescent="0.3">
      <c r="F75">
        <v>32</v>
      </c>
    </row>
    <row r="76" spans="1:6" x14ac:dyDescent="0.3">
      <c r="F76">
        <v>34.6</v>
      </c>
    </row>
    <row r="77" spans="1:6" x14ac:dyDescent="0.3">
      <c r="F77">
        <v>18.399999999999999</v>
      </c>
    </row>
    <row r="78" spans="1:6" x14ac:dyDescent="0.3">
      <c r="F78">
        <v>19</v>
      </c>
    </row>
    <row r="79" spans="1:6" x14ac:dyDescent="0.3">
      <c r="F79">
        <v>19</v>
      </c>
    </row>
    <row r="80" spans="1:6" x14ac:dyDescent="0.3">
      <c r="F80">
        <v>21.2</v>
      </c>
    </row>
    <row r="81" spans="6:6" x14ac:dyDescent="0.3">
      <c r="F81">
        <v>21.6</v>
      </c>
    </row>
    <row r="82" spans="6:6" x14ac:dyDescent="0.3">
      <c r="F82">
        <v>22.7</v>
      </c>
    </row>
    <row r="83" spans="6:6" x14ac:dyDescent="0.3">
      <c r="F83">
        <v>24.4</v>
      </c>
    </row>
    <row r="84" spans="6:6" x14ac:dyDescent="0.3">
      <c r="F84">
        <v>25</v>
      </c>
    </row>
    <row r="85" spans="6:6" x14ac:dyDescent="0.3">
      <c r="F85">
        <v>25.5</v>
      </c>
    </row>
    <row r="86" spans="6:6" x14ac:dyDescent="0.3">
      <c r="F86">
        <v>25.7</v>
      </c>
    </row>
    <row r="87" spans="6:6" x14ac:dyDescent="0.3">
      <c r="F87">
        <v>26.3</v>
      </c>
    </row>
    <row r="88" spans="6:6" x14ac:dyDescent="0.3">
      <c r="F88">
        <v>27</v>
      </c>
    </row>
    <row r="89" spans="6:6" x14ac:dyDescent="0.3">
      <c r="F89">
        <v>28.7</v>
      </c>
    </row>
    <row r="90" spans="6:6" x14ac:dyDescent="0.3">
      <c r="F90">
        <v>28.9</v>
      </c>
    </row>
    <row r="91" spans="6:6" x14ac:dyDescent="0.3">
      <c r="F91">
        <v>29.1</v>
      </c>
    </row>
    <row r="92" spans="6:6" x14ac:dyDescent="0.3">
      <c r="F92">
        <v>29.7</v>
      </c>
    </row>
    <row r="93" spans="6:6" x14ac:dyDescent="0.3">
      <c r="F93">
        <v>29.9</v>
      </c>
    </row>
    <row r="94" spans="6:6" x14ac:dyDescent="0.3">
      <c r="F94">
        <v>30</v>
      </c>
    </row>
    <row r="95" spans="6:6" x14ac:dyDescent="0.3">
      <c r="F95">
        <v>30.5</v>
      </c>
    </row>
    <row r="96" spans="6:6" x14ac:dyDescent="0.3">
      <c r="F96">
        <v>30.9</v>
      </c>
    </row>
    <row r="97" spans="6:6" x14ac:dyDescent="0.3">
      <c r="F97">
        <v>31</v>
      </c>
    </row>
    <row r="98" spans="6:6" x14ac:dyDescent="0.3">
      <c r="F98">
        <v>18.399999999999999</v>
      </c>
    </row>
    <row r="99" spans="6:6" x14ac:dyDescent="0.3">
      <c r="F99">
        <v>18.5</v>
      </c>
    </row>
    <row r="100" spans="6:6" x14ac:dyDescent="0.3">
      <c r="F100">
        <v>21.1</v>
      </c>
    </row>
    <row r="101" spans="6:6" x14ac:dyDescent="0.3">
      <c r="F101">
        <v>21.6</v>
      </c>
    </row>
    <row r="102" spans="6:6" x14ac:dyDescent="0.3">
      <c r="F102">
        <v>22.1</v>
      </c>
    </row>
    <row r="103" spans="6:6" x14ac:dyDescent="0.3">
      <c r="F103">
        <v>22.9</v>
      </c>
    </row>
    <row r="104" spans="6:6" x14ac:dyDescent="0.3">
      <c r="F104">
        <v>23.4</v>
      </c>
    </row>
    <row r="105" spans="6:6" x14ac:dyDescent="0.3">
      <c r="F105">
        <v>25.8</v>
      </c>
    </row>
    <row r="106" spans="6:6" x14ac:dyDescent="0.3">
      <c r="F106">
        <v>31.1</v>
      </c>
    </row>
    <row r="107" spans="6:6" x14ac:dyDescent="0.3">
      <c r="F107">
        <v>20.399999999999999</v>
      </c>
    </row>
    <row r="108" spans="6:6" x14ac:dyDescent="0.3">
      <c r="F108">
        <v>21.6</v>
      </c>
    </row>
  </sheetData>
  <sortState ref="K3:K9">
    <sortCondition ref="K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J1" sqref="J1:K18"/>
    </sheetView>
  </sheetViews>
  <sheetFormatPr defaultRowHeight="13.5" x14ac:dyDescent="0.3"/>
  <cols>
    <col min="1" max="1" width="13.23046875" customWidth="1"/>
    <col min="2" max="2" width="15.15234375" customWidth="1"/>
    <col min="4" max="4" width="12.84375" customWidth="1"/>
    <col min="5" max="5" width="17.765625" customWidth="1"/>
    <col min="7" max="7" width="12.4609375" customWidth="1"/>
    <col min="8" max="8" width="15.765625" customWidth="1"/>
  </cols>
  <sheetData>
    <row r="1" spans="1:11" x14ac:dyDescent="0.3">
      <c r="A1" s="4" t="s">
        <v>42</v>
      </c>
      <c r="B1" s="4"/>
      <c r="D1" s="4" t="s">
        <v>43</v>
      </c>
      <c r="E1" s="4"/>
      <c r="G1" s="4" t="s">
        <v>44</v>
      </c>
      <c r="H1" s="4"/>
      <c r="J1" s="4" t="s">
        <v>52</v>
      </c>
      <c r="K1" s="4"/>
    </row>
    <row r="2" spans="1:11" x14ac:dyDescent="0.3">
      <c r="A2" s="1"/>
      <c r="B2" s="1"/>
      <c r="D2" s="1"/>
      <c r="E2" s="1"/>
      <c r="G2" s="1"/>
      <c r="H2" s="1"/>
      <c r="J2" s="1"/>
      <c r="K2" s="1"/>
    </row>
    <row r="3" spans="1:11" x14ac:dyDescent="0.3">
      <c r="A3" s="1" t="s">
        <v>26</v>
      </c>
      <c r="B3" s="1">
        <v>52.816901408450683</v>
      </c>
      <c r="D3" s="1" t="s">
        <v>26</v>
      </c>
      <c r="E3" s="1">
        <v>41.766197183098583</v>
      </c>
      <c r="G3" s="1" t="s">
        <v>26</v>
      </c>
      <c r="H3" s="1">
        <v>2.8636363636363638</v>
      </c>
      <c r="J3" s="1" t="s">
        <v>26</v>
      </c>
      <c r="K3" s="1">
        <v>30.470754716981119</v>
      </c>
    </row>
    <row r="4" spans="1:11" x14ac:dyDescent="0.3">
      <c r="A4" s="1" t="s">
        <v>27</v>
      </c>
      <c r="B4" s="1">
        <v>0.91584967512498683</v>
      </c>
      <c r="D4" s="1" t="s">
        <v>27</v>
      </c>
      <c r="E4" s="1">
        <v>0.76097455164902494</v>
      </c>
      <c r="G4" s="1" t="s">
        <v>27</v>
      </c>
      <c r="H4" s="1">
        <v>0.4864774500298879</v>
      </c>
      <c r="J4" s="1" t="s">
        <v>27</v>
      </c>
      <c r="K4" s="1">
        <v>0.59592953957545192</v>
      </c>
    </row>
    <row r="5" spans="1:11" x14ac:dyDescent="0.3">
      <c r="A5" s="1" t="s">
        <v>28</v>
      </c>
      <c r="B5" s="1">
        <v>54.2</v>
      </c>
      <c r="D5" s="1" t="s">
        <v>28</v>
      </c>
      <c r="E5" s="1">
        <v>42.9</v>
      </c>
      <c r="G5" s="1" t="s">
        <v>28</v>
      </c>
      <c r="H5" s="1">
        <v>1.65</v>
      </c>
      <c r="J5" s="1" t="s">
        <v>28</v>
      </c>
      <c r="K5" s="1">
        <v>31.299999999999997</v>
      </c>
    </row>
    <row r="6" spans="1:11" x14ac:dyDescent="0.3">
      <c r="A6" s="1" t="s">
        <v>29</v>
      </c>
      <c r="B6" s="1">
        <v>54.9</v>
      </c>
      <c r="D6" s="1" t="s">
        <v>29</v>
      </c>
      <c r="E6" s="1">
        <v>42.9</v>
      </c>
      <c r="G6" s="1" t="s">
        <v>29</v>
      </c>
      <c r="H6" s="1">
        <v>0.6</v>
      </c>
      <c r="J6" s="1" t="s">
        <v>29</v>
      </c>
      <c r="K6" s="1">
        <v>21.6</v>
      </c>
    </row>
    <row r="7" spans="1:11" x14ac:dyDescent="0.3">
      <c r="A7" s="1" t="s">
        <v>30</v>
      </c>
      <c r="B7" s="1">
        <v>7.7170865323180502</v>
      </c>
      <c r="D7" s="1" t="s">
        <v>30</v>
      </c>
      <c r="E7" s="1">
        <v>6.4120855457704131</v>
      </c>
      <c r="G7" s="1" t="s">
        <v>30</v>
      </c>
      <c r="H7" s="1">
        <v>3.9521614870321811</v>
      </c>
      <c r="J7" s="1" t="s">
        <v>30</v>
      </c>
      <c r="K7" s="1">
        <v>6.1354701295575289</v>
      </c>
    </row>
    <row r="8" spans="1:11" x14ac:dyDescent="0.3">
      <c r="A8" s="1" t="s">
        <v>31</v>
      </c>
      <c r="B8" s="1">
        <v>59.553424547284628</v>
      </c>
      <c r="D8" s="1" t="s">
        <v>31</v>
      </c>
      <c r="E8" s="1">
        <v>41.114841046277853</v>
      </c>
      <c r="G8" s="1" t="s">
        <v>31</v>
      </c>
      <c r="H8" s="1">
        <v>15.619580419580419</v>
      </c>
      <c r="J8" s="1" t="s">
        <v>31</v>
      </c>
      <c r="K8" s="1">
        <v>37.643993710692683</v>
      </c>
    </row>
    <row r="9" spans="1:11" x14ac:dyDescent="0.3">
      <c r="A9" s="1" t="s">
        <v>32</v>
      </c>
      <c r="B9" s="1">
        <v>2.5989009108433496</v>
      </c>
      <c r="D9" s="1" t="s">
        <v>32</v>
      </c>
      <c r="E9" s="1">
        <v>3.1932640248099773</v>
      </c>
      <c r="G9" s="1" t="s">
        <v>32</v>
      </c>
      <c r="H9" s="1">
        <v>6.1333293460586438</v>
      </c>
      <c r="J9" s="1" t="s">
        <v>32</v>
      </c>
      <c r="K9" s="1">
        <v>-0.71758060041433991</v>
      </c>
    </row>
    <row r="10" spans="1:11" x14ac:dyDescent="0.3">
      <c r="A10" s="1" t="s">
        <v>33</v>
      </c>
      <c r="B10" s="1">
        <v>-1.2650709087049157</v>
      </c>
      <c r="D10" s="1" t="s">
        <v>33</v>
      </c>
      <c r="E10" s="1">
        <v>-1.4394654127487467</v>
      </c>
      <c r="G10" s="1" t="s">
        <v>33</v>
      </c>
      <c r="H10" s="1">
        <v>2.3950885039823127</v>
      </c>
      <c r="J10" s="1" t="s">
        <v>33</v>
      </c>
      <c r="K10" s="1">
        <v>-0.32124509132900164</v>
      </c>
    </row>
    <row r="11" spans="1:11" x14ac:dyDescent="0.3">
      <c r="A11" s="1" t="s">
        <v>34</v>
      </c>
      <c r="B11" s="1">
        <v>41.7</v>
      </c>
      <c r="D11" s="1" t="s">
        <v>34</v>
      </c>
      <c r="E11" s="1">
        <v>35.299999999999997</v>
      </c>
      <c r="G11" s="1" t="s">
        <v>34</v>
      </c>
      <c r="H11" s="1">
        <v>20.9</v>
      </c>
      <c r="J11" s="1" t="s">
        <v>34</v>
      </c>
      <c r="K11" s="1">
        <v>24.4</v>
      </c>
    </row>
    <row r="12" spans="1:11" x14ac:dyDescent="0.3">
      <c r="A12" s="1" t="s">
        <v>35</v>
      </c>
      <c r="B12" s="1">
        <v>28.7</v>
      </c>
      <c r="D12" s="1" t="s">
        <v>35</v>
      </c>
      <c r="E12" s="1">
        <v>18</v>
      </c>
      <c r="G12" s="1" t="s">
        <v>35</v>
      </c>
      <c r="H12" s="1">
        <v>-1.5</v>
      </c>
      <c r="J12" s="1" t="s">
        <v>35</v>
      </c>
      <c r="K12" s="1">
        <v>18.399999999999999</v>
      </c>
    </row>
    <row r="13" spans="1:11" x14ac:dyDescent="0.3">
      <c r="A13" s="1" t="s">
        <v>36</v>
      </c>
      <c r="B13" s="1">
        <v>70.400000000000006</v>
      </c>
      <c r="D13" s="1" t="s">
        <v>36</v>
      </c>
      <c r="E13" s="1">
        <v>53.3</v>
      </c>
      <c r="G13" s="1" t="s">
        <v>36</v>
      </c>
      <c r="H13" s="1">
        <v>19.399999999999999</v>
      </c>
      <c r="J13" s="1" t="s">
        <v>36</v>
      </c>
      <c r="K13" s="1">
        <v>42.8</v>
      </c>
    </row>
    <row r="14" spans="1:11" x14ac:dyDescent="0.3">
      <c r="A14" s="1" t="s">
        <v>37</v>
      </c>
      <c r="B14" s="1">
        <v>3749.9999999999986</v>
      </c>
      <c r="D14" s="1" t="s">
        <v>37</v>
      </c>
      <c r="E14" s="1">
        <v>2965.3999999999996</v>
      </c>
      <c r="G14" s="1" t="s">
        <v>37</v>
      </c>
      <c r="H14" s="1">
        <v>189</v>
      </c>
      <c r="J14" s="1" t="s">
        <v>37</v>
      </c>
      <c r="K14" s="1">
        <v>3229.8999999999987</v>
      </c>
    </row>
    <row r="15" spans="1:11" x14ac:dyDescent="0.3">
      <c r="A15" s="1" t="s">
        <v>38</v>
      </c>
      <c r="B15" s="1">
        <v>71</v>
      </c>
      <c r="D15" s="1" t="s">
        <v>38</v>
      </c>
      <c r="E15" s="1">
        <v>71</v>
      </c>
      <c r="G15" s="1" t="s">
        <v>38</v>
      </c>
      <c r="H15" s="1">
        <v>66</v>
      </c>
      <c r="J15" s="1" t="s">
        <v>38</v>
      </c>
      <c r="K15" s="1">
        <v>106</v>
      </c>
    </row>
    <row r="16" spans="1:11" x14ac:dyDescent="0.3">
      <c r="A16" s="1" t="s">
        <v>39</v>
      </c>
      <c r="B16" s="1">
        <v>70.400000000000006</v>
      </c>
      <c r="D16" s="1" t="s">
        <v>39</v>
      </c>
      <c r="E16" s="1">
        <v>53.3</v>
      </c>
      <c r="G16" s="1" t="s">
        <v>39</v>
      </c>
      <c r="H16" s="1">
        <v>19.399999999999999</v>
      </c>
      <c r="J16" s="1" t="s">
        <v>39</v>
      </c>
      <c r="K16" s="1">
        <v>42.8</v>
      </c>
    </row>
    <row r="17" spans="1:11" x14ac:dyDescent="0.3">
      <c r="A17" s="1" t="s">
        <v>40</v>
      </c>
      <c r="B17" s="1">
        <v>28.7</v>
      </c>
      <c r="D17" s="1" t="s">
        <v>40</v>
      </c>
      <c r="E17" s="1">
        <v>18</v>
      </c>
      <c r="G17" s="1" t="s">
        <v>40</v>
      </c>
      <c r="H17" s="1">
        <v>-1.5</v>
      </c>
      <c r="J17" s="1" t="s">
        <v>40</v>
      </c>
      <c r="K17" s="1">
        <v>18.399999999999999</v>
      </c>
    </row>
    <row r="18" spans="1:11" ht="14" thickBot="1" x14ac:dyDescent="0.35">
      <c r="A18" s="2" t="s">
        <v>41</v>
      </c>
      <c r="B18" s="2">
        <v>1.8266045808728573</v>
      </c>
      <c r="D18" s="2" t="s">
        <v>41</v>
      </c>
      <c r="E18" s="2">
        <v>1.517715886922254</v>
      </c>
      <c r="G18" s="2" t="s">
        <v>41</v>
      </c>
      <c r="H18" s="2">
        <v>0.97156255703256655</v>
      </c>
      <c r="J18" s="2" t="s">
        <v>41</v>
      </c>
      <c r="K18" s="2">
        <v>1.1816181931758556</v>
      </c>
    </row>
    <row r="20" spans="1:11" x14ac:dyDescent="0.3">
      <c r="A20">
        <v>25</v>
      </c>
      <c r="D20">
        <v>15</v>
      </c>
    </row>
    <row r="21" spans="1:11" x14ac:dyDescent="0.3">
      <c r="A21">
        <v>30</v>
      </c>
      <c r="D21">
        <v>20</v>
      </c>
    </row>
    <row r="22" spans="1:11" x14ac:dyDescent="0.3">
      <c r="A22">
        <v>35</v>
      </c>
      <c r="D22">
        <v>25</v>
      </c>
    </row>
    <row r="23" spans="1:11" x14ac:dyDescent="0.3">
      <c r="A23">
        <v>40</v>
      </c>
      <c r="D23">
        <v>30</v>
      </c>
    </row>
    <row r="24" spans="1:11" x14ac:dyDescent="0.3">
      <c r="A24">
        <v>45</v>
      </c>
      <c r="D24">
        <v>35</v>
      </c>
    </row>
    <row r="25" spans="1:11" x14ac:dyDescent="0.3">
      <c r="A25">
        <v>50</v>
      </c>
      <c r="D25">
        <v>40</v>
      </c>
    </row>
    <row r="26" spans="1:11" x14ac:dyDescent="0.3">
      <c r="A26">
        <v>55</v>
      </c>
      <c r="D26">
        <v>45</v>
      </c>
    </row>
    <row r="27" spans="1:11" x14ac:dyDescent="0.3">
      <c r="A27">
        <v>60</v>
      </c>
      <c r="D27">
        <v>50</v>
      </c>
    </row>
    <row r="28" spans="1:11" x14ac:dyDescent="0.3">
      <c r="A28">
        <v>65</v>
      </c>
      <c r="D28">
        <v>55</v>
      </c>
    </row>
    <row r="29" spans="1:11" x14ac:dyDescent="0.3">
      <c r="A29">
        <v>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="69" zoomScaleNormal="69" workbookViewId="0">
      <selection activeCell="I21" sqref="I21"/>
    </sheetView>
  </sheetViews>
  <sheetFormatPr defaultRowHeight="13.5" x14ac:dyDescent="0.3"/>
  <sheetData>
    <row r="1" spans="1:18" ht="14" thickBot="1" x14ac:dyDescent="0.35">
      <c r="D1" s="4" t="s">
        <v>42</v>
      </c>
      <c r="E1" s="4"/>
    </row>
    <row r="2" spans="1:18" ht="14" thickBot="1" x14ac:dyDescent="0.35">
      <c r="D2" s="1"/>
      <c r="E2" s="1"/>
      <c r="Q2" s="4" t="s">
        <v>55</v>
      </c>
      <c r="R2" s="4"/>
    </row>
    <row r="3" spans="1:18" ht="14" thickBot="1" x14ac:dyDescent="0.35">
      <c r="D3" s="1" t="s">
        <v>26</v>
      </c>
      <c r="E3" s="1">
        <v>52.816901408450683</v>
      </c>
      <c r="N3" s="3" t="s">
        <v>49</v>
      </c>
      <c r="O3" s="3" t="s">
        <v>51</v>
      </c>
      <c r="Q3" s="1"/>
      <c r="R3" s="1"/>
    </row>
    <row r="4" spans="1:18" x14ac:dyDescent="0.3">
      <c r="A4" s="3" t="s">
        <v>49</v>
      </c>
      <c r="B4" s="3" t="s">
        <v>51</v>
      </c>
      <c r="D4" s="1" t="s">
        <v>27</v>
      </c>
      <c r="E4" s="1">
        <v>0.91584967512498683</v>
      </c>
      <c r="N4" s="6">
        <v>15</v>
      </c>
      <c r="O4" s="1">
        <v>0</v>
      </c>
      <c r="Q4" s="1" t="s">
        <v>26</v>
      </c>
      <c r="R4" s="1">
        <v>30.470754716981119</v>
      </c>
    </row>
    <row r="5" spans="1:18" x14ac:dyDescent="0.3">
      <c r="A5" s="6">
        <v>25</v>
      </c>
      <c r="B5" s="1">
        <v>0</v>
      </c>
      <c r="D5" s="1" t="s">
        <v>28</v>
      </c>
      <c r="E5" s="1">
        <v>54.2</v>
      </c>
      <c r="N5" s="6">
        <v>20</v>
      </c>
      <c r="O5" s="1">
        <v>7</v>
      </c>
      <c r="Q5" s="1" t="s">
        <v>27</v>
      </c>
      <c r="R5" s="1">
        <v>0.59592953957545192</v>
      </c>
    </row>
    <row r="6" spans="1:18" x14ac:dyDescent="0.3">
      <c r="A6" s="6">
        <v>30</v>
      </c>
      <c r="B6" s="1">
        <v>2</v>
      </c>
      <c r="D6" s="1" t="s">
        <v>29</v>
      </c>
      <c r="E6" s="1">
        <v>54.9</v>
      </c>
      <c r="N6" s="6">
        <v>25</v>
      </c>
      <c r="O6" s="1">
        <v>15</v>
      </c>
      <c r="Q6" s="1" t="s">
        <v>28</v>
      </c>
      <c r="R6" s="1">
        <v>31.299999999999997</v>
      </c>
    </row>
    <row r="7" spans="1:18" x14ac:dyDescent="0.3">
      <c r="A7" s="6">
        <v>35</v>
      </c>
      <c r="B7" s="1">
        <v>2</v>
      </c>
      <c r="D7" s="1" t="s">
        <v>30</v>
      </c>
      <c r="E7" s="1">
        <v>7.7170865323180502</v>
      </c>
      <c r="N7" s="6">
        <v>30</v>
      </c>
      <c r="O7" s="1">
        <v>21</v>
      </c>
      <c r="Q7" s="1" t="s">
        <v>29</v>
      </c>
      <c r="R7" s="1">
        <v>21.6</v>
      </c>
    </row>
    <row r="8" spans="1:18" x14ac:dyDescent="0.3">
      <c r="A8" s="6">
        <v>40</v>
      </c>
      <c r="B8" s="1">
        <v>0</v>
      </c>
      <c r="D8" s="1" t="s">
        <v>31</v>
      </c>
      <c r="E8" s="1">
        <v>59.553424547284628</v>
      </c>
      <c r="N8" s="6">
        <v>35</v>
      </c>
      <c r="O8" s="1">
        <v>40</v>
      </c>
      <c r="Q8" s="1" t="s">
        <v>30</v>
      </c>
      <c r="R8" s="1">
        <v>6.1354701295575289</v>
      </c>
    </row>
    <row r="9" spans="1:18" x14ac:dyDescent="0.3">
      <c r="A9" s="6">
        <v>45</v>
      </c>
      <c r="B9" s="1">
        <v>4</v>
      </c>
      <c r="D9" s="1" t="s">
        <v>32</v>
      </c>
      <c r="E9" s="1">
        <v>2.5989009108433496</v>
      </c>
      <c r="N9" s="6">
        <v>40</v>
      </c>
      <c r="O9" s="1">
        <v>18</v>
      </c>
      <c r="Q9" s="1" t="s">
        <v>31</v>
      </c>
      <c r="R9" s="1">
        <v>37.643993710692683</v>
      </c>
    </row>
    <row r="10" spans="1:18" x14ac:dyDescent="0.3">
      <c r="A10" s="6">
        <v>50</v>
      </c>
      <c r="B10" s="1">
        <v>12</v>
      </c>
      <c r="D10" s="1" t="s">
        <v>33</v>
      </c>
      <c r="E10" s="1">
        <v>-1.2650709087049157</v>
      </c>
      <c r="N10" s="6">
        <v>45</v>
      </c>
      <c r="O10" s="1">
        <v>5</v>
      </c>
      <c r="Q10" s="1" t="s">
        <v>32</v>
      </c>
      <c r="R10" s="1">
        <v>-0.71758060041433991</v>
      </c>
    </row>
    <row r="11" spans="1:18" ht="14" thickBot="1" x14ac:dyDescent="0.35">
      <c r="A11" s="6">
        <v>55</v>
      </c>
      <c r="B11" s="1">
        <v>21</v>
      </c>
      <c r="D11" s="1" t="s">
        <v>34</v>
      </c>
      <c r="E11" s="1">
        <v>41.7</v>
      </c>
      <c r="N11" s="2" t="s">
        <v>50</v>
      </c>
      <c r="O11" s="2">
        <v>0</v>
      </c>
      <c r="Q11" s="1" t="s">
        <v>33</v>
      </c>
      <c r="R11" s="1">
        <v>-0.32124509132900164</v>
      </c>
    </row>
    <row r="12" spans="1:18" x14ac:dyDescent="0.3">
      <c r="A12" s="6">
        <v>60</v>
      </c>
      <c r="B12" s="1">
        <v>24</v>
      </c>
      <c r="D12" s="1" t="s">
        <v>35</v>
      </c>
      <c r="E12" s="1">
        <v>28.7</v>
      </c>
      <c r="Q12" s="1" t="s">
        <v>34</v>
      </c>
      <c r="R12" s="1">
        <v>24.4</v>
      </c>
    </row>
    <row r="13" spans="1:18" x14ac:dyDescent="0.3">
      <c r="A13" s="6">
        <v>65</v>
      </c>
      <c r="B13" s="1">
        <v>4</v>
      </c>
      <c r="D13" s="1" t="s">
        <v>36</v>
      </c>
      <c r="E13" s="1">
        <v>70.400000000000006</v>
      </c>
      <c r="Q13" s="1" t="s">
        <v>35</v>
      </c>
      <c r="R13" s="1">
        <v>18.399999999999999</v>
      </c>
    </row>
    <row r="14" spans="1:18" x14ac:dyDescent="0.3">
      <c r="A14" s="6">
        <v>70</v>
      </c>
      <c r="B14" s="1">
        <v>1</v>
      </c>
      <c r="D14" s="1" t="s">
        <v>37</v>
      </c>
      <c r="E14" s="1">
        <v>3749.9999999999986</v>
      </c>
      <c r="Q14" s="1" t="s">
        <v>36</v>
      </c>
      <c r="R14" s="1">
        <v>42.8</v>
      </c>
    </row>
    <row r="15" spans="1:18" ht="14" thickBot="1" x14ac:dyDescent="0.35">
      <c r="A15" s="2">
        <v>75</v>
      </c>
      <c r="B15" s="2">
        <v>1</v>
      </c>
      <c r="D15" s="1" t="s">
        <v>38</v>
      </c>
      <c r="E15" s="1">
        <v>71</v>
      </c>
      <c r="Q15" s="1" t="s">
        <v>37</v>
      </c>
      <c r="R15" s="1">
        <v>3229.8999999999987</v>
      </c>
    </row>
    <row r="16" spans="1:18" x14ac:dyDescent="0.3">
      <c r="D16" s="1" t="s">
        <v>39</v>
      </c>
      <c r="E16" s="1">
        <v>70.400000000000006</v>
      </c>
      <c r="Q16" s="1" t="s">
        <v>38</v>
      </c>
      <c r="R16" s="1">
        <v>106</v>
      </c>
    </row>
    <row r="17" spans="1:18" x14ac:dyDescent="0.3">
      <c r="D17" s="1" t="s">
        <v>40</v>
      </c>
      <c r="E17" s="1">
        <v>28.7</v>
      </c>
      <c r="Q17" s="1" t="s">
        <v>39</v>
      </c>
      <c r="R17" s="1">
        <v>42.8</v>
      </c>
    </row>
    <row r="18" spans="1:18" ht="14" thickBot="1" x14ac:dyDescent="0.35">
      <c r="D18" s="2" t="s">
        <v>41</v>
      </c>
      <c r="E18" s="2">
        <v>1.8266045808728573</v>
      </c>
      <c r="Q18" s="1" t="s">
        <v>40</v>
      </c>
      <c r="R18" s="1">
        <v>18.399999999999999</v>
      </c>
    </row>
    <row r="19" spans="1:18" ht="14" thickBot="1" x14ac:dyDescent="0.35">
      <c r="Q19" s="2" t="s">
        <v>41</v>
      </c>
      <c r="R19" s="2">
        <v>1.1816181931758556</v>
      </c>
    </row>
    <row r="24" spans="1:18" ht="14" thickBot="1" x14ac:dyDescent="0.35"/>
    <row r="25" spans="1:18" ht="14" thickBot="1" x14ac:dyDescent="0.35">
      <c r="Q25" s="4" t="s">
        <v>54</v>
      </c>
      <c r="R25" s="4"/>
    </row>
    <row r="26" spans="1:18" ht="14" thickBot="1" x14ac:dyDescent="0.35">
      <c r="D26" s="4" t="s">
        <v>43</v>
      </c>
      <c r="E26" s="4"/>
      <c r="Q26" s="1"/>
      <c r="R26" s="1"/>
    </row>
    <row r="27" spans="1:18" x14ac:dyDescent="0.3">
      <c r="D27" s="1"/>
      <c r="E27" s="1"/>
      <c r="N27" s="3" t="s">
        <v>49</v>
      </c>
      <c r="O27" s="3" t="s">
        <v>51</v>
      </c>
      <c r="Q27" s="1" t="s">
        <v>26</v>
      </c>
      <c r="R27" s="1">
        <v>30.357943925233638</v>
      </c>
    </row>
    <row r="28" spans="1:18" x14ac:dyDescent="0.3">
      <c r="D28" s="1" t="s">
        <v>26</v>
      </c>
      <c r="E28" s="1">
        <v>41.766197183098583</v>
      </c>
      <c r="N28" s="6">
        <v>15</v>
      </c>
      <c r="O28" s="1">
        <v>0</v>
      </c>
      <c r="Q28" s="1" t="s">
        <v>27</v>
      </c>
      <c r="R28" s="1">
        <v>0.60101606406421382</v>
      </c>
    </row>
    <row r="29" spans="1:18" ht="14" thickBot="1" x14ac:dyDescent="0.35">
      <c r="D29" s="1" t="s">
        <v>27</v>
      </c>
      <c r="E29" s="1">
        <v>0.76097455164902494</v>
      </c>
      <c r="N29" s="6">
        <v>20</v>
      </c>
      <c r="O29" s="1">
        <v>8</v>
      </c>
      <c r="Q29" s="1" t="s">
        <v>28</v>
      </c>
      <c r="R29" s="1">
        <v>31.2</v>
      </c>
    </row>
    <row r="30" spans="1:18" x14ac:dyDescent="0.3">
      <c r="A30" s="3" t="s">
        <v>49</v>
      </c>
      <c r="B30" s="3" t="s">
        <v>51</v>
      </c>
      <c r="D30" s="1" t="s">
        <v>28</v>
      </c>
      <c r="E30" s="1">
        <v>42.9</v>
      </c>
      <c r="N30" s="6">
        <v>25</v>
      </c>
      <c r="O30" s="1">
        <v>15</v>
      </c>
      <c r="Q30" s="1" t="s">
        <v>29</v>
      </c>
      <c r="R30" s="1">
        <v>34.6</v>
      </c>
    </row>
    <row r="31" spans="1:18" x14ac:dyDescent="0.3">
      <c r="A31" s="6">
        <v>15</v>
      </c>
      <c r="B31" s="1">
        <v>0</v>
      </c>
      <c r="D31" s="1" t="s">
        <v>29</v>
      </c>
      <c r="E31" s="1">
        <v>42.9</v>
      </c>
      <c r="N31" s="6">
        <v>30</v>
      </c>
      <c r="O31" s="1">
        <v>21</v>
      </c>
      <c r="Q31" s="1" t="s">
        <v>30</v>
      </c>
      <c r="R31" s="1">
        <v>6.216958508078255</v>
      </c>
    </row>
    <row r="32" spans="1:18" x14ac:dyDescent="0.3">
      <c r="A32" s="6">
        <v>20</v>
      </c>
      <c r="B32" s="1">
        <v>1</v>
      </c>
      <c r="D32" s="1" t="s">
        <v>30</v>
      </c>
      <c r="E32" s="1">
        <v>6.4120855457704131</v>
      </c>
      <c r="N32" s="6">
        <v>35</v>
      </c>
      <c r="O32" s="1">
        <v>40</v>
      </c>
      <c r="Q32" s="1" t="s">
        <v>31</v>
      </c>
      <c r="R32" s="1">
        <v>38.650573091166599</v>
      </c>
    </row>
    <row r="33" spans="1:18" x14ac:dyDescent="0.3">
      <c r="A33" s="6">
        <v>25</v>
      </c>
      <c r="B33" s="1">
        <v>2</v>
      </c>
      <c r="D33" s="1" t="s">
        <v>31</v>
      </c>
      <c r="E33" s="1">
        <v>41.114841046277853</v>
      </c>
      <c r="N33" s="6">
        <v>40</v>
      </c>
      <c r="O33" s="1">
        <v>18</v>
      </c>
      <c r="Q33" s="1" t="s">
        <v>32</v>
      </c>
      <c r="R33" s="1">
        <v>-0.74537439397128091</v>
      </c>
    </row>
    <row r="34" spans="1:18" x14ac:dyDescent="0.3">
      <c r="A34" s="6">
        <v>30</v>
      </c>
      <c r="B34" s="1">
        <v>2</v>
      </c>
      <c r="D34" s="1" t="s">
        <v>32</v>
      </c>
      <c r="E34" s="1">
        <v>3.1932640248099773</v>
      </c>
      <c r="N34" s="6">
        <v>45</v>
      </c>
      <c r="O34" s="1">
        <v>5</v>
      </c>
      <c r="Q34" s="1" t="s">
        <v>33</v>
      </c>
      <c r="R34" s="1">
        <v>-0.32069508392156976</v>
      </c>
    </row>
    <row r="35" spans="1:18" ht="14" thickBot="1" x14ac:dyDescent="0.35">
      <c r="A35" s="6">
        <v>35</v>
      </c>
      <c r="B35" s="1">
        <v>2</v>
      </c>
      <c r="D35" s="1" t="s">
        <v>33</v>
      </c>
      <c r="E35" s="1">
        <v>-1.4394654127487467</v>
      </c>
      <c r="N35" s="2" t="s">
        <v>50</v>
      </c>
      <c r="O35" s="2">
        <v>0</v>
      </c>
      <c r="Q35" s="1" t="s">
        <v>34</v>
      </c>
      <c r="R35" s="1">
        <v>24.4</v>
      </c>
    </row>
    <row r="36" spans="1:18" x14ac:dyDescent="0.3">
      <c r="A36" s="6">
        <v>40</v>
      </c>
      <c r="B36" s="1">
        <v>13</v>
      </c>
      <c r="D36" s="1" t="s">
        <v>34</v>
      </c>
      <c r="E36" s="1">
        <v>35.299999999999997</v>
      </c>
      <c r="Q36" s="1" t="s">
        <v>35</v>
      </c>
      <c r="R36" s="1">
        <v>18.399999999999999</v>
      </c>
    </row>
    <row r="37" spans="1:18" x14ac:dyDescent="0.3">
      <c r="A37" s="6">
        <v>45</v>
      </c>
      <c r="B37" s="1">
        <v>31</v>
      </c>
      <c r="D37" s="1" t="s">
        <v>35</v>
      </c>
      <c r="E37" s="1">
        <v>18</v>
      </c>
      <c r="Q37" s="1" t="s">
        <v>36</v>
      </c>
      <c r="R37" s="1">
        <v>42.8</v>
      </c>
    </row>
    <row r="38" spans="1:18" x14ac:dyDescent="0.3">
      <c r="A38" s="6">
        <v>50</v>
      </c>
      <c r="B38" s="1">
        <v>17</v>
      </c>
      <c r="D38" s="1" t="s">
        <v>36</v>
      </c>
      <c r="E38" s="1">
        <v>53.3</v>
      </c>
      <c r="Q38" s="1" t="s">
        <v>37</v>
      </c>
      <c r="R38" s="1">
        <v>3248.2999999999993</v>
      </c>
    </row>
    <row r="39" spans="1:18" x14ac:dyDescent="0.3">
      <c r="A39" s="6">
        <v>55</v>
      </c>
      <c r="B39" s="1">
        <v>3</v>
      </c>
      <c r="D39" s="1" t="s">
        <v>37</v>
      </c>
      <c r="E39" s="1">
        <v>2965.3999999999996</v>
      </c>
      <c r="Q39" s="1" t="s">
        <v>38</v>
      </c>
      <c r="R39" s="1">
        <v>107</v>
      </c>
    </row>
    <row r="40" spans="1:18" ht="14" thickBot="1" x14ac:dyDescent="0.35">
      <c r="A40" s="2" t="s">
        <v>50</v>
      </c>
      <c r="B40" s="2">
        <v>0</v>
      </c>
      <c r="D40" s="1" t="s">
        <v>38</v>
      </c>
      <c r="E40" s="1">
        <v>71</v>
      </c>
      <c r="Q40" s="1" t="s">
        <v>39</v>
      </c>
      <c r="R40" s="1">
        <v>42.8</v>
      </c>
    </row>
    <row r="41" spans="1:18" x14ac:dyDescent="0.3">
      <c r="D41" s="1" t="s">
        <v>39</v>
      </c>
      <c r="E41" s="1">
        <v>53.3</v>
      </c>
      <c r="Q41" s="1" t="s">
        <v>40</v>
      </c>
      <c r="R41" s="1">
        <v>18.399999999999999</v>
      </c>
    </row>
    <row r="42" spans="1:18" ht="14" thickBot="1" x14ac:dyDescent="0.35">
      <c r="D42" s="1" t="s">
        <v>40</v>
      </c>
      <c r="E42" s="1">
        <v>18</v>
      </c>
      <c r="Q42" s="2" t="s">
        <v>41</v>
      </c>
      <c r="R42" s="2">
        <v>1.1915728028907882</v>
      </c>
    </row>
    <row r="43" spans="1:18" ht="14" thickBot="1" x14ac:dyDescent="0.35">
      <c r="D43" s="2" t="s">
        <v>41</v>
      </c>
      <c r="E43" s="2">
        <v>1.517715886922254</v>
      </c>
    </row>
  </sheetData>
  <sortState ref="N4:N10">
    <sortCondition ref="N20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A5" sqref="A5:XFD5"/>
    </sheetView>
  </sheetViews>
  <sheetFormatPr defaultRowHeight="13.5" x14ac:dyDescent="0.3"/>
  <cols>
    <col min="1" max="1" width="13.23046875" customWidth="1"/>
    <col min="6" max="6" width="10" customWidth="1"/>
    <col min="7" max="7" width="17.3828125" customWidth="1"/>
    <col min="10" max="10" width="7.4609375" customWidth="1"/>
    <col min="11" max="11" width="7.3828125" customWidth="1"/>
    <col min="13" max="13" width="9.15234375" customWidth="1"/>
  </cols>
  <sheetData>
    <row r="1" spans="1:13" x14ac:dyDescent="0.3">
      <c r="A1" s="7" t="s">
        <v>64</v>
      </c>
    </row>
    <row r="2" spans="1:13" s="8" customFormat="1" ht="54" x14ac:dyDescent="0.3">
      <c r="B2" s="9" t="s">
        <v>62</v>
      </c>
      <c r="C2" s="9" t="s">
        <v>63</v>
      </c>
      <c r="D2" s="9"/>
      <c r="E2" s="9" t="s">
        <v>67</v>
      </c>
      <c r="F2" s="9" t="s">
        <v>68</v>
      </c>
      <c r="G2" s="9" t="s">
        <v>65</v>
      </c>
      <c r="H2" s="9" t="s">
        <v>66</v>
      </c>
      <c r="J2" s="9" t="s">
        <v>69</v>
      </c>
      <c r="K2" s="9" t="s">
        <v>70</v>
      </c>
      <c r="M2" s="9" t="s">
        <v>71</v>
      </c>
    </row>
    <row r="3" spans="1:13" x14ac:dyDescent="0.3">
      <c r="A3" s="5" t="s">
        <v>56</v>
      </c>
      <c r="B3">
        <f>11.15+12.03</f>
        <v>23.18</v>
      </c>
      <c r="C3">
        <v>-0.33</v>
      </c>
      <c r="E3">
        <v>28.7</v>
      </c>
      <c r="F3">
        <v>70.400000000000006</v>
      </c>
      <c r="G3">
        <f>C3*E3+B3</f>
        <v>13.709</v>
      </c>
      <c r="H3">
        <f>C3*F3+B3</f>
        <v>-5.2000000000003155E-2</v>
      </c>
      <c r="J3">
        <f>M$3*G3</f>
        <v>1.3894256756756758</v>
      </c>
      <c r="K3">
        <f>M$3*H3</f>
        <v>-5.2702702702705903E-3</v>
      </c>
      <c r="M3">
        <f>30/296</f>
        <v>0.10135135135135136</v>
      </c>
    </row>
    <row r="4" spans="1:13" x14ac:dyDescent="0.3">
      <c r="A4" s="5" t="s">
        <v>57</v>
      </c>
      <c r="B4">
        <f>11.15+12.03+5.85</f>
        <v>29.03</v>
      </c>
      <c r="C4">
        <v>-0.33</v>
      </c>
      <c r="E4">
        <v>28.7</v>
      </c>
      <c r="F4">
        <v>70.400000000000006</v>
      </c>
      <c r="G4">
        <f t="shared" ref="G4:G7" si="0">C4*E4+B4</f>
        <v>19.559000000000001</v>
      </c>
      <c r="H4">
        <f t="shared" ref="H4:H8" si="1">C4*F4+B4</f>
        <v>5.7979999999999983</v>
      </c>
      <c r="J4">
        <f>M$3*G4</f>
        <v>1.9823310810810812</v>
      </c>
      <c r="K4">
        <f t="shared" ref="K4:K8" si="2">M$3*H4</f>
        <v>0.58763513513513499</v>
      </c>
    </row>
    <row r="5" spans="1:13" x14ac:dyDescent="0.3">
      <c r="A5" s="5" t="s">
        <v>58</v>
      </c>
      <c r="B5">
        <f>11.15+8.12</f>
        <v>19.27</v>
      </c>
      <c r="C5">
        <v>-0.33</v>
      </c>
      <c r="E5">
        <v>18</v>
      </c>
      <c r="F5">
        <v>53.3</v>
      </c>
      <c r="G5">
        <f t="shared" si="0"/>
        <v>13.329999999999998</v>
      </c>
      <c r="H5">
        <f t="shared" si="1"/>
        <v>1.6810000000000009</v>
      </c>
      <c r="J5">
        <f t="shared" ref="J5:J8" si="3">M$3*G5</f>
        <v>1.3510135135135135</v>
      </c>
      <c r="K5">
        <f t="shared" si="2"/>
        <v>0.17037162162162173</v>
      </c>
    </row>
    <row r="6" spans="1:13" x14ac:dyDescent="0.3">
      <c r="A6" s="5" t="s">
        <v>59</v>
      </c>
      <c r="B6">
        <f>11.15+8.12+5.85</f>
        <v>25.119999999999997</v>
      </c>
      <c r="C6">
        <v>-0.33</v>
      </c>
      <c r="E6">
        <v>18</v>
      </c>
      <c r="F6">
        <v>53.3</v>
      </c>
      <c r="G6">
        <f t="shared" si="0"/>
        <v>19.179999999999996</v>
      </c>
      <c r="H6">
        <f t="shared" si="1"/>
        <v>7.5309999999999988</v>
      </c>
      <c r="J6">
        <f t="shared" si="3"/>
        <v>1.9439189189189185</v>
      </c>
      <c r="K6">
        <f t="shared" si="2"/>
        <v>0.76327702702702693</v>
      </c>
    </row>
    <row r="7" spans="1:13" x14ac:dyDescent="0.3">
      <c r="A7" s="5" t="s">
        <v>60</v>
      </c>
      <c r="B7">
        <f>11.15+4.71</f>
        <v>15.86</v>
      </c>
      <c r="C7">
        <v>-0.33</v>
      </c>
      <c r="E7">
        <v>18.399999999999999</v>
      </c>
      <c r="F7">
        <v>42.8</v>
      </c>
      <c r="G7">
        <f t="shared" si="0"/>
        <v>9.7880000000000003</v>
      </c>
      <c r="H7">
        <f t="shared" si="1"/>
        <v>1.7359999999999989</v>
      </c>
      <c r="J7">
        <f t="shared" si="3"/>
        <v>0.99202702702702705</v>
      </c>
      <c r="K7">
        <f t="shared" si="2"/>
        <v>0.17594594594594584</v>
      </c>
    </row>
    <row r="8" spans="1:13" x14ac:dyDescent="0.3">
      <c r="A8" s="5" t="s">
        <v>61</v>
      </c>
      <c r="B8">
        <f>11.15+4.71+5.85</f>
        <v>21.71</v>
      </c>
      <c r="C8">
        <v>-0.33</v>
      </c>
      <c r="E8">
        <v>18.399999999999999</v>
      </c>
      <c r="F8">
        <v>42.8</v>
      </c>
      <c r="G8">
        <f>C8*E8+B8</f>
        <v>15.638000000000002</v>
      </c>
      <c r="H8">
        <f t="shared" si="1"/>
        <v>7.5860000000000003</v>
      </c>
      <c r="J8">
        <f t="shared" si="3"/>
        <v>1.5849324324324328</v>
      </c>
      <c r="K8">
        <f t="shared" si="2"/>
        <v>0.76885135135135141</v>
      </c>
    </row>
    <row r="11" spans="1:13" x14ac:dyDescent="0.3">
      <c r="I1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opLeftCell="A3" workbookViewId="0">
      <selection activeCell="B17" sqref="B17"/>
    </sheetView>
  </sheetViews>
  <sheetFormatPr defaultRowHeight="13.5" x14ac:dyDescent="0.3"/>
  <cols>
    <col min="1" max="1" width="13.23046875" customWidth="1"/>
    <col min="3" max="3" width="9.23046875" customWidth="1"/>
    <col min="4" max="4" width="1.23046875" customWidth="1"/>
    <col min="6" max="6" width="10" customWidth="1"/>
    <col min="7" max="7" width="17.3828125" customWidth="1"/>
    <col min="10" max="10" width="7.4609375" customWidth="1"/>
    <col min="11" max="11" width="7.3828125" customWidth="1"/>
    <col min="13" max="13" width="9.15234375" customWidth="1"/>
  </cols>
  <sheetData>
    <row r="1" spans="1:24" x14ac:dyDescent="0.3">
      <c r="A1" s="7" t="s">
        <v>64</v>
      </c>
      <c r="E1" s="17" t="s">
        <v>73</v>
      </c>
      <c r="F1" s="18"/>
      <c r="G1" s="18"/>
      <c r="H1" s="18"/>
      <c r="I1" s="18"/>
      <c r="J1" s="19" t="s">
        <v>74</v>
      </c>
      <c r="K1" s="20"/>
      <c r="L1" s="20"/>
      <c r="M1" s="20"/>
      <c r="N1" s="20"/>
      <c r="O1" s="17" t="s">
        <v>75</v>
      </c>
      <c r="P1" s="18"/>
      <c r="Q1" s="18"/>
      <c r="R1" s="18"/>
      <c r="S1" s="18"/>
      <c r="T1" s="19" t="s">
        <v>76</v>
      </c>
      <c r="U1" s="20"/>
      <c r="V1" s="20"/>
      <c r="W1" s="20"/>
      <c r="X1" s="20"/>
    </row>
    <row r="2" spans="1:24" s="8" customFormat="1" ht="40.5" x14ac:dyDescent="0.3">
      <c r="B2" s="9" t="s">
        <v>62</v>
      </c>
      <c r="C2" s="9" t="s">
        <v>63</v>
      </c>
      <c r="D2" s="9"/>
      <c r="E2" s="10" t="s">
        <v>67</v>
      </c>
      <c r="F2" s="10" t="s">
        <v>68</v>
      </c>
      <c r="G2" s="10" t="s">
        <v>65</v>
      </c>
      <c r="H2" s="10" t="s">
        <v>66</v>
      </c>
      <c r="I2" s="10" t="s">
        <v>72</v>
      </c>
      <c r="J2" s="12" t="s">
        <v>67</v>
      </c>
      <c r="K2" s="12" t="s">
        <v>68</v>
      </c>
      <c r="L2" s="12" t="s">
        <v>65</v>
      </c>
      <c r="M2" s="12" t="s">
        <v>66</v>
      </c>
      <c r="N2" s="12" t="s">
        <v>72</v>
      </c>
      <c r="O2" s="10" t="s">
        <v>67</v>
      </c>
      <c r="P2" s="10" t="s">
        <v>68</v>
      </c>
      <c r="Q2" s="10" t="s">
        <v>65</v>
      </c>
      <c r="R2" s="10" t="s">
        <v>66</v>
      </c>
      <c r="S2" s="10" t="s">
        <v>72</v>
      </c>
      <c r="T2" s="12" t="s">
        <v>67</v>
      </c>
      <c r="U2" s="12" t="s">
        <v>68</v>
      </c>
      <c r="V2" s="12" t="s">
        <v>65</v>
      </c>
      <c r="W2" s="12" t="s">
        <v>66</v>
      </c>
      <c r="X2" s="12" t="s">
        <v>72</v>
      </c>
    </row>
    <row r="3" spans="1:24" x14ac:dyDescent="0.3">
      <c r="A3" s="5" t="s">
        <v>58</v>
      </c>
      <c r="B3">
        <f>11.15+8.12</f>
        <v>19.27</v>
      </c>
      <c r="C3">
        <v>-0.33</v>
      </c>
      <c r="E3" s="11">
        <v>37.700000000000003</v>
      </c>
      <c r="F3" s="11">
        <v>53.3</v>
      </c>
      <c r="G3" s="11">
        <f t="shared" ref="G3:G5" si="0">C3*E3+B3</f>
        <v>6.8289999999999988</v>
      </c>
      <c r="H3" s="11">
        <f t="shared" ref="H3:H6" si="1">C3*F3+B3</f>
        <v>1.6810000000000009</v>
      </c>
      <c r="I3" s="11">
        <f>(G3+H3)/2</f>
        <v>4.2549999999999999</v>
      </c>
      <c r="J3" s="13">
        <v>28.7</v>
      </c>
      <c r="K3" s="13">
        <v>37.700000000000003</v>
      </c>
      <c r="L3" s="13">
        <f>C3*J3+B3</f>
        <v>9.7989999999999995</v>
      </c>
      <c r="M3" s="13">
        <f>C3*K3+B3</f>
        <v>6.8289999999999988</v>
      </c>
      <c r="N3" s="13">
        <f>(M3+L3)/2</f>
        <v>8.3140000000000001</v>
      </c>
      <c r="O3" s="11">
        <v>20</v>
      </c>
      <c r="P3" s="11">
        <v>28.7</v>
      </c>
      <c r="Q3" s="11">
        <f>C3*O3+B3</f>
        <v>12.669999999999998</v>
      </c>
      <c r="R3" s="11">
        <f>C3*P3+B3</f>
        <v>9.7989999999999995</v>
      </c>
      <c r="S3" s="11">
        <f>(Q3+R3)/2</f>
        <v>11.234499999999999</v>
      </c>
      <c r="T3" s="13">
        <v>18</v>
      </c>
      <c r="U3" s="13">
        <v>20</v>
      </c>
      <c r="V3" s="13">
        <f>C3*T3+B3</f>
        <v>13.329999999999998</v>
      </c>
      <c r="W3" s="13">
        <f>C3*U3+B3</f>
        <v>12.669999999999998</v>
      </c>
      <c r="X3" s="13">
        <f>(V3+W3)/2</f>
        <v>12.999999999999998</v>
      </c>
    </row>
    <row r="4" spans="1:24" x14ac:dyDescent="0.3">
      <c r="A4" s="5" t="s">
        <v>59</v>
      </c>
      <c r="B4">
        <f>11.15+8.12+5.85</f>
        <v>25.119999999999997</v>
      </c>
      <c r="C4">
        <v>-0.33</v>
      </c>
      <c r="E4" s="11">
        <v>37.700000000000003</v>
      </c>
      <c r="F4" s="11">
        <v>53.3</v>
      </c>
      <c r="G4" s="11">
        <f t="shared" si="0"/>
        <v>12.678999999999997</v>
      </c>
      <c r="H4" s="11">
        <f t="shared" si="1"/>
        <v>7.5309999999999988</v>
      </c>
      <c r="I4" s="11">
        <f t="shared" ref="I4:I6" si="2">(G4+H4)/2</f>
        <v>10.104999999999997</v>
      </c>
      <c r="J4" s="13">
        <v>28.7</v>
      </c>
      <c r="K4" s="13">
        <v>37.700000000000003</v>
      </c>
      <c r="L4" s="13">
        <f>C4*J4+B4</f>
        <v>15.648999999999997</v>
      </c>
      <c r="M4" s="13">
        <f t="shared" ref="M4:M6" si="3">C4*K4+B4</f>
        <v>12.678999999999997</v>
      </c>
      <c r="N4" s="13">
        <f t="shared" ref="N4:N6" si="4">(M4+L4)/2</f>
        <v>14.163999999999998</v>
      </c>
      <c r="O4" s="11">
        <v>20</v>
      </c>
      <c r="P4" s="11">
        <v>28.7</v>
      </c>
      <c r="Q4" s="11">
        <f>C4*O4+B4</f>
        <v>18.519999999999996</v>
      </c>
      <c r="R4" s="11">
        <f>C4*P4+B4</f>
        <v>15.648999999999997</v>
      </c>
      <c r="S4" s="11">
        <f t="shared" ref="S4:S5" si="5">(Q4+R4)/2</f>
        <v>17.084499999999998</v>
      </c>
      <c r="T4" s="13">
        <v>18</v>
      </c>
      <c r="U4" s="13">
        <v>20</v>
      </c>
      <c r="V4" s="13">
        <f t="shared" ref="V4:V6" si="6">C4*T4+B4</f>
        <v>19.179999999999996</v>
      </c>
      <c r="W4" s="13">
        <f t="shared" ref="W4:W6" si="7">C4*U4+B4</f>
        <v>18.519999999999996</v>
      </c>
      <c r="X4" s="13">
        <f t="shared" ref="X4:X6" si="8">(V4+W4)/2</f>
        <v>18.849999999999994</v>
      </c>
    </row>
    <row r="5" spans="1:24" x14ac:dyDescent="0.3">
      <c r="A5" s="5" t="s">
        <v>60</v>
      </c>
      <c r="B5">
        <f>11.15+4.71</f>
        <v>15.86</v>
      </c>
      <c r="C5">
        <v>-0.33</v>
      </c>
      <c r="E5" s="11">
        <v>37.700000000000003</v>
      </c>
      <c r="F5" s="11">
        <v>42.8</v>
      </c>
      <c r="G5" s="11">
        <f t="shared" si="0"/>
        <v>3.4189999999999987</v>
      </c>
      <c r="H5" s="11">
        <f t="shared" si="1"/>
        <v>1.7359999999999989</v>
      </c>
      <c r="I5" s="11">
        <f t="shared" si="2"/>
        <v>2.5774999999999988</v>
      </c>
      <c r="J5" s="13">
        <v>28.7</v>
      </c>
      <c r="K5" s="13">
        <v>37.700000000000003</v>
      </c>
      <c r="L5" s="13">
        <f t="shared" ref="L5:L6" si="9">C5*J5+B5</f>
        <v>6.3889999999999993</v>
      </c>
      <c r="M5" s="13">
        <f t="shared" si="3"/>
        <v>3.4189999999999987</v>
      </c>
      <c r="N5" s="13">
        <f t="shared" si="4"/>
        <v>4.903999999999999</v>
      </c>
      <c r="O5" s="11">
        <v>20</v>
      </c>
      <c r="P5" s="11">
        <v>28.7</v>
      </c>
      <c r="Q5" s="11">
        <f t="shared" ref="Q5:Q6" si="10">C5*O5+B5</f>
        <v>9.259999999999998</v>
      </c>
      <c r="R5" s="11">
        <f t="shared" ref="R5:R6" si="11">C5*P5+B5</f>
        <v>6.3889999999999993</v>
      </c>
      <c r="S5" s="11">
        <f t="shared" si="5"/>
        <v>7.8244999999999987</v>
      </c>
      <c r="T5" s="13">
        <v>18.399999999999999</v>
      </c>
      <c r="U5" s="13">
        <v>20</v>
      </c>
      <c r="V5" s="13">
        <f t="shared" si="6"/>
        <v>9.7880000000000003</v>
      </c>
      <c r="W5" s="13">
        <f t="shared" si="7"/>
        <v>9.259999999999998</v>
      </c>
      <c r="X5" s="13">
        <f t="shared" si="8"/>
        <v>9.5239999999999991</v>
      </c>
    </row>
    <row r="6" spans="1:24" x14ac:dyDescent="0.3">
      <c r="A6" s="5" t="s">
        <v>61</v>
      </c>
      <c r="B6">
        <f>11.15+4.71+5.85</f>
        <v>21.71</v>
      </c>
      <c r="C6">
        <v>-0.33</v>
      </c>
      <c r="E6" s="11">
        <v>37.700000000000003</v>
      </c>
      <c r="F6" s="11">
        <v>42.8</v>
      </c>
      <c r="G6" s="11">
        <f>C6*E6+B6</f>
        <v>9.2690000000000001</v>
      </c>
      <c r="H6" s="11">
        <f t="shared" si="1"/>
        <v>7.5860000000000003</v>
      </c>
      <c r="I6" s="11">
        <f t="shared" si="2"/>
        <v>8.4275000000000002</v>
      </c>
      <c r="J6" s="13">
        <v>28.7</v>
      </c>
      <c r="K6" s="13">
        <v>37.700000000000003</v>
      </c>
      <c r="L6" s="13">
        <f t="shared" si="9"/>
        <v>12.239000000000001</v>
      </c>
      <c r="M6" s="13">
        <f t="shared" si="3"/>
        <v>9.2690000000000001</v>
      </c>
      <c r="N6" s="13">
        <f t="shared" si="4"/>
        <v>10.754000000000001</v>
      </c>
      <c r="O6" s="11">
        <v>20</v>
      </c>
      <c r="P6" s="11">
        <v>28.7</v>
      </c>
      <c r="Q6" s="11">
        <f t="shared" si="10"/>
        <v>15.11</v>
      </c>
      <c r="R6" s="11">
        <f t="shared" si="11"/>
        <v>12.239000000000001</v>
      </c>
      <c r="S6" s="11">
        <f>(Q6+R6)/2</f>
        <v>13.6745</v>
      </c>
      <c r="T6" s="13">
        <v>18.399999999999999</v>
      </c>
      <c r="U6" s="13">
        <v>20</v>
      </c>
      <c r="V6" s="13">
        <f t="shared" si="6"/>
        <v>15.638000000000002</v>
      </c>
      <c r="W6" s="13">
        <f t="shared" si="7"/>
        <v>15.11</v>
      </c>
      <c r="X6" s="13">
        <f t="shared" si="8"/>
        <v>15.374000000000001</v>
      </c>
    </row>
    <row r="9" spans="1:24" x14ac:dyDescent="0.3">
      <c r="G9" s="21" t="s">
        <v>78</v>
      </c>
      <c r="H9" s="21"/>
      <c r="I9" s="21"/>
      <c r="J9" s="21"/>
    </row>
    <row r="10" spans="1:24" ht="40.5" x14ac:dyDescent="0.3">
      <c r="A10" s="9" t="s">
        <v>71</v>
      </c>
      <c r="G10" s="5" t="s">
        <v>73</v>
      </c>
      <c r="H10" s="5" t="s">
        <v>74</v>
      </c>
      <c r="I10" s="5" t="s">
        <v>75</v>
      </c>
      <c r="J10" s="5" t="s">
        <v>76</v>
      </c>
    </row>
    <row r="11" spans="1:24" x14ac:dyDescent="0.3">
      <c r="A11">
        <f>30/296</f>
        <v>0.10135135135135136</v>
      </c>
      <c r="F11" s="5" t="s">
        <v>58</v>
      </c>
      <c r="G11">
        <v>4.2549999999999999</v>
      </c>
      <c r="H11">
        <v>8.3140000000000001</v>
      </c>
      <c r="I11">
        <v>11.234499999999999</v>
      </c>
      <c r="J11">
        <v>12.999999999999998</v>
      </c>
    </row>
    <row r="12" spans="1:24" x14ac:dyDescent="0.3">
      <c r="F12" s="5" t="s">
        <v>59</v>
      </c>
      <c r="G12">
        <v>10.104999999999997</v>
      </c>
      <c r="H12">
        <v>14.163999999999998</v>
      </c>
      <c r="I12">
        <v>17.084499999999998</v>
      </c>
      <c r="J12">
        <v>18.849999999999994</v>
      </c>
    </row>
    <row r="13" spans="1:24" x14ac:dyDescent="0.3">
      <c r="F13" s="5" t="s">
        <v>60</v>
      </c>
      <c r="G13">
        <v>2.5774999999999988</v>
      </c>
      <c r="H13">
        <v>4.903999999999999</v>
      </c>
      <c r="I13">
        <v>7.8244999999999987</v>
      </c>
      <c r="J13">
        <v>9.5239999999999991</v>
      </c>
    </row>
    <row r="14" spans="1:24" x14ac:dyDescent="0.3">
      <c r="F14" s="5" t="s">
        <v>61</v>
      </c>
      <c r="G14">
        <v>8.4275000000000002</v>
      </c>
      <c r="H14">
        <v>10.754000000000001</v>
      </c>
      <c r="I14">
        <v>13.6745</v>
      </c>
      <c r="J14">
        <v>15.374000000000001</v>
      </c>
    </row>
    <row r="16" spans="1:24" x14ac:dyDescent="0.3">
      <c r="G16" s="21" t="s">
        <v>77</v>
      </c>
      <c r="H16" s="21"/>
      <c r="I16" s="21"/>
      <c r="J16" s="21"/>
    </row>
    <row r="17" spans="6:14" x14ac:dyDescent="0.3">
      <c r="G17" s="5" t="s">
        <v>73</v>
      </c>
      <c r="H17" s="5" t="s">
        <v>74</v>
      </c>
      <c r="I17" s="5" t="s">
        <v>75</v>
      </c>
      <c r="J17" s="5" t="s">
        <v>76</v>
      </c>
      <c r="N17">
        <f>2.5*296/30</f>
        <v>24.666666666666668</v>
      </c>
    </row>
    <row r="18" spans="6:14" x14ac:dyDescent="0.3">
      <c r="F18" s="5" t="s">
        <v>58</v>
      </c>
      <c r="G18">
        <f t="shared" ref="G18:H18" si="12">G11*30/296</f>
        <v>0.43124999999999997</v>
      </c>
      <c r="H18">
        <f t="shared" si="12"/>
        <v>0.84263513513513522</v>
      </c>
      <c r="I18">
        <f>I11*30/296</f>
        <v>1.1386317567567565</v>
      </c>
      <c r="J18">
        <f>J11*30/296</f>
        <v>1.3175675675675673</v>
      </c>
    </row>
    <row r="19" spans="6:14" x14ac:dyDescent="0.3">
      <c r="F19" s="5" t="s">
        <v>59</v>
      </c>
      <c r="G19">
        <f t="shared" ref="G19:H19" si="13">G12*30/296</f>
        <v>1.0241554054054052</v>
      </c>
      <c r="H19">
        <f t="shared" si="13"/>
        <v>1.4355405405405404</v>
      </c>
      <c r="I19">
        <f t="shared" ref="I19:J21" si="14">I12*30/296</f>
        <v>1.731537162162162</v>
      </c>
      <c r="J19">
        <f t="shared" si="14"/>
        <v>1.9104729729729721</v>
      </c>
    </row>
    <row r="20" spans="6:14" x14ac:dyDescent="0.3">
      <c r="F20" s="5" t="s">
        <v>60</v>
      </c>
      <c r="G20">
        <f t="shared" ref="G20:H20" si="15">G13*30/296</f>
        <v>0.26123310810810796</v>
      </c>
      <c r="H20">
        <f t="shared" si="15"/>
        <v>0.49702702702702695</v>
      </c>
      <c r="I20">
        <f t="shared" si="14"/>
        <v>0.79302364864864849</v>
      </c>
      <c r="J20">
        <f t="shared" si="14"/>
        <v>0.96527027027027013</v>
      </c>
    </row>
    <row r="21" spans="6:14" x14ac:dyDescent="0.3">
      <c r="F21" s="5" t="s">
        <v>61</v>
      </c>
      <c r="G21">
        <f t="shared" ref="G21:H21" si="16">G14*30/296</f>
        <v>0.85413851351351355</v>
      </c>
      <c r="H21">
        <f t="shared" si="16"/>
        <v>1.0899324324324327</v>
      </c>
      <c r="I21">
        <f t="shared" si="14"/>
        <v>1.3859290540540541</v>
      </c>
      <c r="J21">
        <f t="shared" si="14"/>
        <v>1.5581756756756757</v>
      </c>
    </row>
  </sheetData>
  <mergeCells count="6">
    <mergeCell ref="E1:I1"/>
    <mergeCell ref="J1:N1"/>
    <mergeCell ref="O1:S1"/>
    <mergeCell ref="T1:X1"/>
    <mergeCell ref="G16:J16"/>
    <mergeCell ref="G9:J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tabSelected="1" topLeftCell="C1" workbookViewId="0">
      <selection activeCell="F8" sqref="F8"/>
    </sheetView>
  </sheetViews>
  <sheetFormatPr defaultRowHeight="13.5" x14ac:dyDescent="0.3"/>
  <cols>
    <col min="3" max="3" width="17.3828125" customWidth="1"/>
    <col min="4" max="4" width="17.765625" customWidth="1"/>
    <col min="5" max="6" width="17.4609375" customWidth="1"/>
    <col min="7" max="7" width="26" customWidth="1"/>
    <col min="8" max="8" width="25" customWidth="1"/>
    <col min="9" max="9" width="19.15234375" customWidth="1"/>
  </cols>
  <sheetData>
    <row r="2" spans="2:10" x14ac:dyDescent="0.3">
      <c r="C2" t="s">
        <v>134</v>
      </c>
      <c r="D2" t="s">
        <v>135</v>
      </c>
      <c r="E2" t="s">
        <v>136</v>
      </c>
      <c r="F2" t="s">
        <v>142</v>
      </c>
      <c r="G2" t="s">
        <v>137</v>
      </c>
      <c r="H2" t="s">
        <v>138</v>
      </c>
      <c r="I2" t="s">
        <v>139</v>
      </c>
    </row>
    <row r="3" spans="2:10" x14ac:dyDescent="0.3">
      <c r="B3" t="s">
        <v>79</v>
      </c>
      <c r="C3">
        <v>0.93100000000000005</v>
      </c>
      <c r="D3">
        <f>1-C3</f>
        <v>6.899999999999995E-2</v>
      </c>
      <c r="E3" s="14">
        <f>(30/302)*D3</f>
        <v>6.8543046357615843E-3</v>
      </c>
      <c r="F3" s="14">
        <f>(28/302)*D3</f>
        <v>6.3973509933774788E-3</v>
      </c>
    </row>
    <row r="4" spans="2:10" x14ac:dyDescent="0.3">
      <c r="B4" t="s">
        <v>80</v>
      </c>
      <c r="C4">
        <v>0.94179999999999997</v>
      </c>
      <c r="D4">
        <f t="shared" ref="D4:D5" si="0">1-C4</f>
        <v>5.8200000000000029E-2</v>
      </c>
      <c r="E4" s="14">
        <f t="shared" ref="E4:E5" si="1">(30/302)*D4</f>
        <v>5.7814569536423863E-3</v>
      </c>
      <c r="F4" s="14">
        <f t="shared" ref="F4:F6" si="2">(28/302)*D4</f>
        <v>5.396026490066228E-3</v>
      </c>
      <c r="G4">
        <v>5.8099999999999999E-2</v>
      </c>
      <c r="H4">
        <f>(30/302)*G4</f>
        <v>5.7715231788079465E-3</v>
      </c>
      <c r="I4" s="14">
        <f>H4/(1-G4)</f>
        <v>6.127532836615295E-3</v>
      </c>
      <c r="J4">
        <f>(66/62)*I4</f>
        <v>6.522857535751765E-3</v>
      </c>
    </row>
    <row r="5" spans="2:10" x14ac:dyDescent="0.3">
      <c r="B5" t="s">
        <v>133</v>
      </c>
      <c r="C5">
        <v>0.94910000000000005</v>
      </c>
      <c r="D5">
        <f t="shared" si="0"/>
        <v>5.0899999999999945E-2</v>
      </c>
      <c r="E5" s="14">
        <f t="shared" si="1"/>
        <v>5.0562913907284714E-3</v>
      </c>
      <c r="F5" s="14">
        <f t="shared" si="2"/>
        <v>4.7192052980132397E-3</v>
      </c>
      <c r="G5">
        <v>8.4699999999999998E-2</v>
      </c>
      <c r="H5">
        <f>(30/302)*G5</f>
        <v>8.4139072847682107E-3</v>
      </c>
      <c r="I5" s="14">
        <f>H5/(1-G5)</f>
        <v>9.1925131484411789E-3</v>
      </c>
    </row>
    <row r="6" spans="2:10" x14ac:dyDescent="0.3">
      <c r="B6" t="s">
        <v>141</v>
      </c>
      <c r="C6">
        <v>0.8</v>
      </c>
      <c r="D6">
        <f t="shared" ref="D6" si="3">1-C6</f>
        <v>0.19999999999999996</v>
      </c>
      <c r="E6" s="14">
        <f t="shared" ref="E6" si="4">(30/302)*D6</f>
        <v>1.9867549668874166E-2</v>
      </c>
      <c r="F6" s="14">
        <f t="shared" si="2"/>
        <v>1.8543046357615889E-2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C2" sqref="C2"/>
    </sheetView>
  </sheetViews>
  <sheetFormatPr defaultRowHeight="13.5" x14ac:dyDescent="0.3"/>
  <cols>
    <col min="2" max="2" width="9.61328125" customWidth="1"/>
    <col min="4" max="4" width="20.23046875" customWidth="1"/>
  </cols>
  <sheetData>
    <row r="1" spans="1:13" s="8" customFormat="1" ht="67.5" x14ac:dyDescent="0.3">
      <c r="B1" s="8" t="s">
        <v>82</v>
      </c>
      <c r="C1" s="8" t="s">
        <v>83</v>
      </c>
      <c r="F1" s="8" t="s">
        <v>85</v>
      </c>
      <c r="G1" s="8" t="s">
        <v>86</v>
      </c>
      <c r="K1" s="8" t="s">
        <v>84</v>
      </c>
    </row>
    <row r="2" spans="1:13" x14ac:dyDescent="0.3">
      <c r="A2" t="s">
        <v>79</v>
      </c>
      <c r="C2">
        <v>6.8543046357615843E-3</v>
      </c>
      <c r="E2" t="s">
        <v>87</v>
      </c>
      <c r="G2">
        <v>6.127532836615295E-3</v>
      </c>
      <c r="K2">
        <f>30/296</f>
        <v>0.10135135135135136</v>
      </c>
    </row>
    <row r="3" spans="1:13" x14ac:dyDescent="0.3">
      <c r="A3" t="s">
        <v>80</v>
      </c>
      <c r="C3">
        <v>5.7814569536423863E-3</v>
      </c>
      <c r="E3" t="s">
        <v>88</v>
      </c>
      <c r="G3">
        <v>9.1925131484411789E-3</v>
      </c>
    </row>
    <row r="4" spans="1:13" x14ac:dyDescent="0.3">
      <c r="A4" t="s">
        <v>81</v>
      </c>
      <c r="C4">
        <v>5.0562913907284714E-3</v>
      </c>
    </row>
    <row r="6" spans="1:13" x14ac:dyDescent="0.3">
      <c r="E6" s="7" t="s">
        <v>124</v>
      </c>
      <c r="F6" s="7" t="s">
        <v>125</v>
      </c>
      <c r="G6" s="7" t="s">
        <v>126</v>
      </c>
      <c r="H6" s="7" t="s">
        <v>132</v>
      </c>
      <c r="I6" s="7" t="s">
        <v>122</v>
      </c>
      <c r="J6" s="7" t="s">
        <v>131</v>
      </c>
      <c r="K6" s="7" t="s">
        <v>123</v>
      </c>
      <c r="M6" s="7"/>
    </row>
    <row r="7" spans="1:13" x14ac:dyDescent="0.3">
      <c r="E7">
        <v>6.8543046357615843E-3</v>
      </c>
      <c r="F7">
        <v>5.7814569536423863E-3</v>
      </c>
      <c r="G7">
        <v>5.0562913907284714E-3</v>
      </c>
      <c r="H7">
        <v>88.527119258705952</v>
      </c>
      <c r="I7">
        <v>6.127532836615295E-3</v>
      </c>
      <c r="J7">
        <v>77.694259555971612</v>
      </c>
      <c r="K7">
        <v>9.1925131484411789E-3</v>
      </c>
    </row>
    <row r="8" spans="1:13" x14ac:dyDescent="0.3">
      <c r="D8" s="7" t="s">
        <v>121</v>
      </c>
      <c r="E8">
        <v>1</v>
      </c>
      <c r="F8">
        <v>5.7814569536423863E-3</v>
      </c>
      <c r="G8">
        <v>5.0562913907284714E-3</v>
      </c>
      <c r="H8">
        <v>1</v>
      </c>
      <c r="I8">
        <f>(E8/(E8+F8))/H8</f>
        <v>0.99425177615507698</v>
      </c>
      <c r="J8">
        <v>1</v>
      </c>
      <c r="K8">
        <f>((E8+F8)/(E8+F8+G8))/J8</f>
        <v>0.99499791989465181</v>
      </c>
    </row>
    <row r="9" spans="1:13" x14ac:dyDescent="0.3">
      <c r="D9" s="7" t="s">
        <v>127</v>
      </c>
      <c r="E9">
        <v>6.8543046357615843E-3</v>
      </c>
      <c r="F9">
        <v>1</v>
      </c>
      <c r="G9">
        <v>5.0562913907284714E-3</v>
      </c>
      <c r="H9">
        <v>1</v>
      </c>
      <c r="I9">
        <f t="shared" ref="I9:I12" si="0">(E9/(E9+F9))/H9</f>
        <v>6.8076429769460926E-3</v>
      </c>
      <c r="J9">
        <v>1</v>
      </c>
      <c r="K9">
        <f t="shared" ref="K9:K12" si="1">((E9+F9)/(E9+F9+G9))/J9</f>
        <v>0.99500322319918066</v>
      </c>
    </row>
    <row r="10" spans="1:13" x14ac:dyDescent="0.3">
      <c r="D10" s="7" t="s">
        <v>128</v>
      </c>
      <c r="E10">
        <v>1</v>
      </c>
      <c r="F10">
        <v>1</v>
      </c>
      <c r="G10">
        <v>5.0562913907284714E-3</v>
      </c>
      <c r="H10">
        <v>1</v>
      </c>
      <c r="I10">
        <f t="shared" si="0"/>
        <v>0.5</v>
      </c>
      <c r="J10">
        <v>1</v>
      </c>
      <c r="K10">
        <f t="shared" si="1"/>
        <v>0.99747822970734579</v>
      </c>
    </row>
    <row r="11" spans="1:13" x14ac:dyDescent="0.3">
      <c r="D11" s="7" t="s">
        <v>129</v>
      </c>
      <c r="E11">
        <v>6.8543046357615843E-3</v>
      </c>
      <c r="F11">
        <v>5.7814569536423863E-3</v>
      </c>
      <c r="G11">
        <v>1</v>
      </c>
      <c r="H11">
        <v>88.527119258705952</v>
      </c>
      <c r="I11">
        <f t="shared" si="0"/>
        <v>6.127532836615295E-3</v>
      </c>
      <c r="J11">
        <v>1</v>
      </c>
      <c r="K11">
        <f t="shared" si="1"/>
        <v>1.2478091401365524E-2</v>
      </c>
    </row>
    <row r="12" spans="1:13" x14ac:dyDescent="0.3">
      <c r="D12" s="7" t="s">
        <v>130</v>
      </c>
      <c r="E12">
        <v>0.25666800000000001</v>
      </c>
      <c r="F12">
        <v>0.25542999999999999</v>
      </c>
      <c r="G12">
        <v>0.25438499999999997</v>
      </c>
      <c r="H12">
        <v>4</v>
      </c>
      <c r="I12">
        <f t="shared" si="0"/>
        <v>0.12530218825302972</v>
      </c>
      <c r="J12">
        <v>4</v>
      </c>
      <c r="K12">
        <f t="shared" si="1"/>
        <v>0.1670284924779806</v>
      </c>
    </row>
    <row r="13" spans="1:13" x14ac:dyDescent="0.3">
      <c r="D13" s="7" t="s">
        <v>140</v>
      </c>
      <c r="E13">
        <f>E7+0.1*(1-E7)</f>
        <v>0.10616887417218544</v>
      </c>
      <c r="F13">
        <f>F7+0.1*(1-F7)</f>
        <v>0.10520331125827816</v>
      </c>
      <c r="G13">
        <f>G7+0.1*(1-G7)</f>
        <v>0.10455066225165563</v>
      </c>
    </row>
    <row r="17" spans="10:12" x14ac:dyDescent="0.3">
      <c r="J17" s="5" t="s">
        <v>132</v>
      </c>
      <c r="L17" s="5" t="s">
        <v>131</v>
      </c>
    </row>
    <row r="18" spans="10:12" x14ac:dyDescent="0.3">
      <c r="J18">
        <f>E7/(E7+F7)</f>
        <v>0.54245283018867896</v>
      </c>
      <c r="L18">
        <f>(E7+F7)/(E7+F7+G7)</f>
        <v>0.7142055025266707</v>
      </c>
    </row>
    <row r="19" spans="10:12" x14ac:dyDescent="0.3">
      <c r="J19">
        <f>J18/I7</f>
        <v>88.527119258705952</v>
      </c>
      <c r="L19">
        <f>L18/K7</f>
        <v>77.694259555971612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dat4emma</vt:lpstr>
      <vt:lpstr>dat4emma (2)</vt:lpstr>
      <vt:lpstr>Sheet2</vt:lpstr>
      <vt:lpstr>M size classes</vt:lpstr>
      <vt:lpstr>F size classes</vt:lpstr>
      <vt:lpstr>All J_SL</vt:lpstr>
      <vt:lpstr>Sheet3</vt:lpstr>
      <vt:lpstr>Histograms</vt:lpstr>
      <vt:lpstr>Growth vs Initial SL</vt:lpstr>
      <vt:lpstr>Growth vs Initial SL (2)</vt:lpstr>
      <vt:lpstr>Mortality and transition</vt:lpstr>
      <vt:lpstr>Mortality and new transitio (2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Buston 1</dc:creator>
  <cp:lastModifiedBy>eschlatter</cp:lastModifiedBy>
  <dcterms:created xsi:type="dcterms:W3CDTF">2013-09-14T15:22:20Z</dcterms:created>
  <dcterms:modified xsi:type="dcterms:W3CDTF">2017-08-06T17:45:10Z</dcterms:modified>
</cp:coreProperties>
</file>